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LSHADDAI WOOD PACKING\ELSHADDAI WOOD PACKING 2026-2027\SUPPLYER NAME 2025-2026\SOLIFLEX  PACKAGING 2025-2026\"/>
    </mc:Choice>
  </mc:AlternateContent>
  <xr:revisionPtr revIDLastSave="0" documentId="13_ncr:1_{A87E1E70-B580-4E66-8B27-50D2750F0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" i="3" l="1"/>
  <c r="E98" i="3"/>
  <c r="E97" i="3"/>
  <c r="E96" i="3"/>
  <c r="E83" i="3"/>
  <c r="E82" i="3"/>
  <c r="E81" i="3"/>
  <c r="E80" i="3"/>
  <c r="E53" i="2"/>
  <c r="E52" i="2"/>
  <c r="E51" i="2"/>
  <c r="E38" i="2"/>
  <c r="E37" i="2"/>
  <c r="E36" i="2"/>
  <c r="E24" i="2"/>
  <c r="E23" i="2"/>
  <c r="E22" i="2"/>
  <c r="E10" i="2"/>
  <c r="E9" i="2"/>
  <c r="E8" i="2"/>
  <c r="E52" i="3"/>
  <c r="E54" i="3"/>
  <c r="E53" i="3"/>
  <c r="E39" i="3"/>
  <c r="E38" i="3"/>
  <c r="E37" i="3"/>
  <c r="E25" i="3"/>
  <c r="E24" i="3"/>
  <c r="E23" i="3"/>
  <c r="E10" i="3"/>
  <c r="E9" i="3"/>
  <c r="E8" i="3"/>
  <c r="I76" i="2" l="1"/>
  <c r="E75" i="2"/>
  <c r="I75" i="2" s="1"/>
  <c r="E74" i="2"/>
  <c r="I74" i="2" s="1"/>
  <c r="E73" i="2"/>
  <c r="I73" i="2" s="1"/>
  <c r="I39" i="2"/>
  <c r="I38" i="2"/>
  <c r="I37" i="2"/>
  <c r="I36" i="2"/>
  <c r="I25" i="2"/>
  <c r="I24" i="2"/>
  <c r="I23" i="2"/>
  <c r="I22" i="2"/>
  <c r="I81" i="3"/>
  <c r="I82" i="3"/>
  <c r="I55" i="3"/>
  <c r="I54" i="3"/>
  <c r="I53" i="3"/>
  <c r="I52" i="3"/>
  <c r="I40" i="3"/>
  <c r="I39" i="3"/>
  <c r="I38" i="3"/>
  <c r="I37" i="3"/>
  <c r="I100" i="3"/>
  <c r="I99" i="3"/>
  <c r="I98" i="3"/>
  <c r="I97" i="3"/>
  <c r="I96" i="3"/>
  <c r="I101" i="3"/>
  <c r="I83" i="3"/>
  <c r="I80" i="3"/>
  <c r="I84" i="3"/>
  <c r="I26" i="3"/>
  <c r="I25" i="3"/>
  <c r="I24" i="3"/>
  <c r="I23" i="3"/>
  <c r="I11" i="3"/>
  <c r="I10" i="3"/>
  <c r="I9" i="3"/>
  <c r="I8" i="3"/>
  <c r="I54" i="2"/>
  <c r="I53" i="2"/>
  <c r="I52" i="2"/>
  <c r="I51" i="2"/>
  <c r="I11" i="2"/>
  <c r="I10" i="2"/>
  <c r="I9" i="2"/>
  <c r="I8" i="2"/>
  <c r="I42" i="2" l="1"/>
  <c r="J36" i="2" s="1"/>
  <c r="J42" i="2" s="1"/>
  <c r="Q42" i="2" s="1"/>
  <c r="I79" i="2"/>
  <c r="J73" i="2" s="1"/>
  <c r="J79" i="2" s="1"/>
  <c r="O79" i="2" s="1"/>
  <c r="I28" i="2"/>
  <c r="J22" i="2" s="1"/>
  <c r="J28" i="2" s="1"/>
  <c r="N28" i="2" s="1"/>
  <c r="I58" i="3"/>
  <c r="J52" i="3" s="1"/>
  <c r="J58" i="3" s="1"/>
  <c r="P58" i="3" s="1"/>
  <c r="I43" i="3"/>
  <c r="J37" i="3" s="1"/>
  <c r="J43" i="3" s="1"/>
  <c r="P43" i="3" s="1"/>
  <c r="I104" i="3"/>
  <c r="J96" i="3" s="1"/>
  <c r="J104" i="3" s="1"/>
  <c r="Q104" i="3" s="1"/>
  <c r="I29" i="3"/>
  <c r="J23" i="3" s="1"/>
  <c r="J29" i="3" s="1"/>
  <c r="O29" i="3" s="1"/>
  <c r="I87" i="3"/>
  <c r="J80" i="3" s="1"/>
  <c r="J87" i="3" s="1"/>
  <c r="L87" i="3" s="1"/>
  <c r="I14" i="3"/>
  <c r="J8" i="3" s="1"/>
  <c r="J14" i="3" s="1"/>
  <c r="I14" i="2"/>
  <c r="J8" i="2" s="1"/>
  <c r="J14" i="2" s="1"/>
  <c r="I57" i="2"/>
  <c r="J51" i="2" s="1"/>
  <c r="J57" i="2" s="1"/>
  <c r="O57" i="2" s="1"/>
  <c r="N42" i="2" l="1"/>
  <c r="K42" i="2"/>
  <c r="L42" i="2"/>
  <c r="M42" i="2"/>
  <c r="O42" i="2"/>
  <c r="P42" i="2"/>
  <c r="Q79" i="2"/>
  <c r="P79" i="2"/>
  <c r="K79" i="2"/>
  <c r="L79" i="2"/>
  <c r="M79" i="2"/>
  <c r="N79" i="2"/>
  <c r="P28" i="2"/>
  <c r="Q28" i="2"/>
  <c r="L28" i="2"/>
  <c r="K28" i="2"/>
  <c r="O28" i="2"/>
  <c r="M28" i="2"/>
  <c r="Q58" i="3"/>
  <c r="K58" i="3"/>
  <c r="L58" i="3"/>
  <c r="M58" i="3"/>
  <c r="N58" i="3"/>
  <c r="O58" i="3"/>
  <c r="L43" i="3"/>
  <c r="K43" i="3"/>
  <c r="M43" i="3"/>
  <c r="N43" i="3"/>
  <c r="O43" i="3"/>
  <c r="Q43" i="3"/>
  <c r="P29" i="3"/>
  <c r="Q29" i="3"/>
  <c r="K29" i="3"/>
  <c r="M29" i="3"/>
  <c r="L29" i="3"/>
  <c r="K104" i="3"/>
  <c r="L104" i="3"/>
  <c r="M104" i="3"/>
  <c r="N104" i="3"/>
  <c r="P104" i="3"/>
  <c r="O104" i="3"/>
  <c r="M87" i="3"/>
  <c r="N29" i="3"/>
  <c r="N87" i="3"/>
  <c r="O87" i="3"/>
  <c r="P87" i="3"/>
  <c r="Q87" i="3"/>
  <c r="K87" i="3"/>
  <c r="K14" i="3"/>
  <c r="O14" i="3"/>
  <c r="Q14" i="3"/>
  <c r="P14" i="3"/>
  <c r="N14" i="3"/>
  <c r="M14" i="3"/>
  <c r="L14" i="3"/>
  <c r="P14" i="2"/>
  <c r="Q14" i="2"/>
  <c r="N14" i="2"/>
  <c r="O14" i="2"/>
  <c r="K14" i="2"/>
  <c r="M14" i="2"/>
  <c r="L14" i="2"/>
  <c r="Q57" i="2"/>
  <c r="K57" i="2"/>
  <c r="L57" i="2"/>
  <c r="M57" i="2"/>
  <c r="N57" i="2"/>
  <c r="P57" i="2"/>
  <c r="R42" i="2" l="1"/>
  <c r="S42" i="2" s="1"/>
  <c r="T42" i="2" s="1"/>
  <c r="R79" i="2"/>
  <c r="S79" i="2" s="1"/>
  <c r="T79" i="2" s="1"/>
  <c r="R28" i="2"/>
  <c r="S28" i="2" s="1"/>
  <c r="T28" i="2" s="1"/>
  <c r="R58" i="3"/>
  <c r="S58" i="3" s="1"/>
  <c r="T58" i="3" s="1"/>
  <c r="R43" i="3"/>
  <c r="S43" i="3" s="1"/>
  <c r="T43" i="3" s="1"/>
  <c r="R29" i="3"/>
  <c r="S29" i="3" s="1"/>
  <c r="T29" i="3" s="1"/>
  <c r="R104" i="3"/>
  <c r="S104" i="3" s="1"/>
  <c r="T104" i="3" s="1"/>
  <c r="R87" i="3"/>
  <c r="S87" i="3" s="1"/>
  <c r="T87" i="3" s="1"/>
  <c r="R14" i="3"/>
  <c r="R14" i="2"/>
  <c r="S14" i="2" s="1"/>
  <c r="T14" i="2" s="1"/>
  <c r="R57" i="2"/>
  <c r="S57" i="2" s="1"/>
  <c r="T57" i="2" s="1"/>
  <c r="S14" i="3" l="1"/>
  <c r="T14" i="3" s="1"/>
</calcChain>
</file>

<file path=xl/sharedStrings.xml><?xml version="1.0" encoding="utf-8"?>
<sst xmlns="http://schemas.openxmlformats.org/spreadsheetml/2006/main" count="361" uniqueCount="26">
  <si>
    <t>TOTAL</t>
  </si>
  <si>
    <t>QTY</t>
  </si>
  <si>
    <t>TOP</t>
  </si>
  <si>
    <t>TRANSPORT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</si>
  <si>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</si>
  <si>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</si>
  <si>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</si>
  <si>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</si>
  <si>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</si>
  <si>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</si>
  <si>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</si>
  <si>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</si>
  <si>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PROFIT</t>
  </si>
  <si>
    <t>FINAL TOTAL</t>
  </si>
  <si>
    <t>PINE WOOD</t>
  </si>
  <si>
    <t>SIZE</t>
  </si>
  <si>
    <t>WITH</t>
  </si>
  <si>
    <t>HIGHT</t>
  </si>
  <si>
    <t>VEST 10%</t>
  </si>
  <si>
    <t>EB</t>
  </si>
  <si>
    <t>PLAINING</t>
  </si>
  <si>
    <t>HT</t>
  </si>
  <si>
    <t>LEG</t>
  </si>
  <si>
    <t>BACK</t>
  </si>
  <si>
    <t>BLOOK</t>
  </si>
  <si>
    <t>26.05.2026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</si>
</sst>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0" fillId="2" borderId="1" xfId="0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T79"/>
  <sheetViews>
    <sheetView tabSelected="1" topLeftCell="A55" workbookViewId="0">
      <selection activeCell="C84" sqref="C84"/>
    </sheetView>
  </sheetViews>
  <sheetFormatPr defaultRowHeight="15" x14ac:dyDescent="0.25"/>
  <cols>
    <col min="2" max="2" width="10.42578125" customWidth="1"/>
    <col min="3" max="3" width="14.42578125" customWidth="1"/>
    <col min="10" max="10" width="11" customWidth="1"/>
    <col min="11" max="11" width="11.28515625" customWidth="1"/>
    <col min="12" max="12" width="11.42578125" customWidth="1"/>
    <col min="14" max="14" width="16.140625" customWidth="1"/>
    <col min="15" max="15" width="11.140625" customWidth="1"/>
    <col min="16" max="18" width="9.140625" customWidth="1"/>
    <col min="19" max="19" width="9.42578125" customWidth="1"/>
    <col min="20" max="20" width="14.140625" customWidth="1"/>
  </cols>
  <sheetData>
    <row r="6" spans="1:20" ht="18.75" x14ac:dyDescent="0.3">
      <c r="A6" s="11">
        <v>1</v>
      </c>
      <c r="B6" s="1"/>
      <c r="C6" s="1"/>
      <c r="D6" s="1"/>
      <c r="E6" s="1"/>
      <c r="F6" s="1"/>
      <c r="G6" s="1">
        <v>25.4</v>
      </c>
      <c r="H6" s="8">
        <v>900</v>
      </c>
      <c r="I6" s="9">
        <v>1050</v>
      </c>
      <c r="J6" s="9">
        <v>130</v>
      </c>
      <c r="K6" s="9">
        <v>17</v>
      </c>
      <c r="L6" s="9"/>
      <c r="M6" s="10"/>
      <c r="N6" s="1"/>
      <c r="O6" s="1"/>
      <c r="P6" s="1"/>
      <c r="Q6" s="1"/>
      <c r="R6" s="1"/>
      <c r="S6" s="1"/>
      <c r="T6" s="1"/>
    </row>
    <row r="7" spans="1:20" ht="15.75" x14ac:dyDescent="0.25">
      <c r="A7" s="4" t="s">
        <v>4</v>
      </c>
      <c r="B7" s="4" t="s">
        <v>5</v>
      </c>
      <c r="C7" s="4" t="s">
        <v>6</v>
      </c>
      <c r="D7" s="4" t="s">
        <v>15</v>
      </c>
      <c r="E7" s="4" t="s">
        <v>7</v>
      </c>
      <c r="F7" s="4" t="s">
        <v>16</v>
      </c>
      <c r="G7" s="4" t="s">
        <v>17</v>
      </c>
      <c r="H7" s="4" t="s">
        <v>1</v>
      </c>
      <c r="I7" s="4" t="s">
        <v>8</v>
      </c>
      <c r="J7" s="4" t="s">
        <v>18</v>
      </c>
      <c r="K7" s="4" t="s">
        <v>9</v>
      </c>
      <c r="L7" s="4" t="s">
        <v>10</v>
      </c>
      <c r="M7" s="4" t="s">
        <v>11</v>
      </c>
      <c r="N7" s="4" t="s">
        <v>3</v>
      </c>
      <c r="O7" s="4" t="s">
        <v>20</v>
      </c>
      <c r="P7" s="4" t="s">
        <v>19</v>
      </c>
      <c r="Q7" s="4" t="s">
        <v>21</v>
      </c>
      <c r="R7" s="4" t="s">
        <v>0</v>
      </c>
      <c r="S7" s="4" t="s">
        <v>12</v>
      </c>
      <c r="T7" s="4" t="s">
        <v>13</v>
      </c>
    </row>
    <row r="8" spans="1:20" x14ac:dyDescent="0.25">
      <c r="A8" s="2">
        <v>1</v>
      </c>
      <c r="B8" s="2" t="s">
        <v>25</v>
      </c>
      <c r="C8" s="2" t="s">
        <v>14</v>
      </c>
      <c r="D8" s="2" t="s">
        <v>2</v>
      </c>
      <c r="E8" s="2">
        <f>H6+50</f>
        <v>950</v>
      </c>
      <c r="F8" s="2">
        <v>100</v>
      </c>
      <c r="G8" s="2">
        <v>17</v>
      </c>
      <c r="H8" s="2">
        <v>7</v>
      </c>
      <c r="I8" s="2">
        <f t="shared" ref="I8:I11" si="0">E8*F8*G8*H8/304.8/304.8/304.8</f>
        <v>0.39923230728642845</v>
      </c>
      <c r="J8" s="2">
        <f>I14*10%</f>
        <v>0.10163561082444417</v>
      </c>
      <c r="K8" s="2">
        <v>925</v>
      </c>
      <c r="L8" s="2">
        <v>150</v>
      </c>
      <c r="M8" s="6">
        <v>30</v>
      </c>
      <c r="N8" s="6">
        <v>65</v>
      </c>
      <c r="O8" s="6">
        <v>10</v>
      </c>
      <c r="P8" s="6">
        <v>5</v>
      </c>
      <c r="Q8" s="6">
        <v>20</v>
      </c>
      <c r="R8" s="6"/>
      <c r="S8" s="7">
        <v>0.15</v>
      </c>
      <c r="T8" s="6"/>
    </row>
    <row r="9" spans="1:20" x14ac:dyDescent="0.25">
      <c r="A9" s="2">
        <v>2</v>
      </c>
      <c r="B9" s="2" t="s">
        <v>25</v>
      </c>
      <c r="C9" s="2" t="s">
        <v>14</v>
      </c>
      <c r="D9" s="2" t="s">
        <v>22</v>
      </c>
      <c r="E9" s="2">
        <f>I6+50</f>
        <v>1100</v>
      </c>
      <c r="F9" s="2">
        <v>100</v>
      </c>
      <c r="G9" s="2">
        <v>17</v>
      </c>
      <c r="H9" s="2">
        <v>3</v>
      </c>
      <c r="I9" s="2">
        <f t="shared" si="0"/>
        <v>0.19811528030755099</v>
      </c>
      <c r="J9" s="2"/>
      <c r="K9" s="2"/>
      <c r="L9" s="2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2">
        <v>3</v>
      </c>
      <c r="B10" s="2" t="s">
        <v>25</v>
      </c>
      <c r="C10" s="2" t="s">
        <v>14</v>
      </c>
      <c r="D10" s="2" t="s">
        <v>23</v>
      </c>
      <c r="E10" s="2">
        <f>H6+50</f>
        <v>950</v>
      </c>
      <c r="F10" s="2">
        <v>100</v>
      </c>
      <c r="G10" s="2">
        <v>17</v>
      </c>
      <c r="H10" s="2">
        <v>3</v>
      </c>
      <c r="I10" s="2">
        <f t="shared" si="0"/>
        <v>0.17109956026561221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2">
        <v>4</v>
      </c>
      <c r="B11" s="2" t="s">
        <v>25</v>
      </c>
      <c r="C11" s="2" t="s">
        <v>14</v>
      </c>
      <c r="D11" s="2" t="s">
        <v>24</v>
      </c>
      <c r="E11" s="2">
        <v>100</v>
      </c>
      <c r="F11" s="2">
        <v>100</v>
      </c>
      <c r="G11" s="2">
        <v>78</v>
      </c>
      <c r="H11" s="2">
        <v>9</v>
      </c>
      <c r="I11" s="2">
        <f t="shared" si="0"/>
        <v>0.24790896038484991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ht="15.75" x14ac:dyDescent="0.25">
      <c r="A14" s="3"/>
      <c r="B14" s="3"/>
      <c r="C14" s="3"/>
      <c r="D14" s="3"/>
      <c r="E14" s="3"/>
      <c r="F14" s="3"/>
      <c r="G14" s="3"/>
      <c r="H14" s="3"/>
      <c r="I14" s="4">
        <f>SUM(I8:I13)</f>
        <v>1.0163561082444417</v>
      </c>
      <c r="J14" s="4">
        <f>J8+I14</f>
        <v>1.1179917190688857</v>
      </c>
      <c r="K14" s="4">
        <f>J14*K8</f>
        <v>1034.1423401387192</v>
      </c>
      <c r="L14" s="4">
        <f>J14*L8</f>
        <v>167.69875786033285</v>
      </c>
      <c r="M14" s="4">
        <f>J14*M8</f>
        <v>33.539751572066571</v>
      </c>
      <c r="N14" s="4">
        <f>J14*N8</f>
        <v>72.669461739477569</v>
      </c>
      <c r="O14" s="4">
        <f>J14*O8</f>
        <v>11.179917190688858</v>
      </c>
      <c r="P14" s="4">
        <f>J14*P8</f>
        <v>5.5899585953444291</v>
      </c>
      <c r="Q14" s="4">
        <f>J14*Q8</f>
        <v>22.359834381377716</v>
      </c>
      <c r="R14" s="4">
        <f>SUM(K14:Q14)</f>
        <v>1347.1800214780071</v>
      </c>
      <c r="S14" s="4">
        <f>R14*S8</f>
        <v>202.07700322170106</v>
      </c>
      <c r="T14" s="5">
        <f>R14+S14</f>
        <v>1549.2570246997082</v>
      </c>
    </row>
    <row r="20" spans="1:20" ht="18.75" x14ac:dyDescent="0.3">
      <c r="A20" s="11">
        <v>2</v>
      </c>
      <c r="B20" s="1"/>
      <c r="C20" s="1"/>
      <c r="D20" s="1"/>
      <c r="E20" s="1"/>
      <c r="F20" s="1"/>
      <c r="G20" s="1">
        <v>25.4</v>
      </c>
      <c r="H20" s="8">
        <v>900</v>
      </c>
      <c r="I20" s="9">
        <v>1100</v>
      </c>
      <c r="J20" s="9">
        <v>130</v>
      </c>
      <c r="K20" s="9">
        <v>17</v>
      </c>
      <c r="L20" s="9"/>
      <c r="M20" s="10"/>
      <c r="N20" s="1"/>
      <c r="O20" s="1"/>
      <c r="P20" s="1"/>
      <c r="Q20" s="1"/>
      <c r="R20" s="1"/>
      <c r="S20" s="1"/>
      <c r="T20" s="1"/>
    </row>
    <row r="21" spans="1:20" ht="15.75" x14ac:dyDescent="0.25">
      <c r="A21" s="4" t="s">
        <v>4</v>
      </c>
      <c r="B21" s="4" t="s">
        <v>5</v>
      </c>
      <c r="C21" s="4" t="s">
        <v>6</v>
      </c>
      <c r="D21" s="4" t="s">
        <v>15</v>
      </c>
      <c r="E21" s="4" t="s">
        <v>7</v>
      </c>
      <c r="F21" s="4" t="s">
        <v>16</v>
      </c>
      <c r="G21" s="4" t="s">
        <v>17</v>
      </c>
      <c r="H21" s="4" t="s">
        <v>1</v>
      </c>
      <c r="I21" s="4" t="s">
        <v>8</v>
      </c>
      <c r="J21" s="4" t="s">
        <v>18</v>
      </c>
      <c r="K21" s="4" t="s">
        <v>9</v>
      </c>
      <c r="L21" s="4" t="s">
        <v>10</v>
      </c>
      <c r="M21" s="4" t="s">
        <v>11</v>
      </c>
      <c r="N21" s="4" t="s">
        <v>3</v>
      </c>
      <c r="O21" s="4" t="s">
        <v>20</v>
      </c>
      <c r="P21" s="4" t="s">
        <v>19</v>
      </c>
      <c r="Q21" s="4" t="s">
        <v>21</v>
      </c>
      <c r="R21" s="4" t="s">
        <v>0</v>
      </c>
      <c r="S21" s="4" t="s">
        <v>12</v>
      </c>
      <c r="T21" s="4" t="s">
        <v>13</v>
      </c>
    </row>
    <row r="22" spans="1:20" x14ac:dyDescent="0.25">
      <c r="A22" s="2">
        <v>1</v>
      </c>
      <c r="B22" s="2" t="s">
        <v>25</v>
      </c>
      <c r="C22" s="2" t="s">
        <v>14</v>
      </c>
      <c r="D22" s="2" t="s">
        <v>2</v>
      </c>
      <c r="E22" s="2">
        <f>H20+50</f>
        <v>950</v>
      </c>
      <c r="F22" s="2">
        <v>100</v>
      </c>
      <c r="G22" s="2">
        <v>17</v>
      </c>
      <c r="H22" s="2">
        <v>7</v>
      </c>
      <c r="I22" s="2">
        <f t="shared" ref="I22:I25" si="1">E22*F22*G22*H22/304.8/304.8/304.8</f>
        <v>0.39923230728642845</v>
      </c>
      <c r="J22" s="2">
        <f>I28*10%</f>
        <v>0.10253613482584212</v>
      </c>
      <c r="K22" s="2">
        <v>925</v>
      </c>
      <c r="L22" s="2">
        <v>150</v>
      </c>
      <c r="M22" s="6">
        <v>30</v>
      </c>
      <c r="N22" s="6">
        <v>65</v>
      </c>
      <c r="O22" s="6">
        <v>10</v>
      </c>
      <c r="P22" s="6">
        <v>5</v>
      </c>
      <c r="Q22" s="6">
        <v>20</v>
      </c>
      <c r="R22" s="6"/>
      <c r="S22" s="7">
        <v>0.15</v>
      </c>
      <c r="T22" s="6"/>
    </row>
    <row r="23" spans="1:20" x14ac:dyDescent="0.25">
      <c r="A23" s="2">
        <v>2</v>
      </c>
      <c r="B23" s="2" t="s">
        <v>25</v>
      </c>
      <c r="C23" s="2" t="s">
        <v>14</v>
      </c>
      <c r="D23" s="2" t="s">
        <v>22</v>
      </c>
      <c r="E23" s="2">
        <f>I20+50</f>
        <v>1150</v>
      </c>
      <c r="F23" s="2">
        <v>100</v>
      </c>
      <c r="G23" s="2">
        <v>17</v>
      </c>
      <c r="H23" s="2">
        <v>3</v>
      </c>
      <c r="I23" s="2">
        <f t="shared" si="1"/>
        <v>0.20712052032153055</v>
      </c>
      <c r="J23" s="2"/>
      <c r="K23" s="2"/>
      <c r="L23" s="2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2">
        <v>3</v>
      </c>
      <c r="B24" s="2" t="s">
        <v>25</v>
      </c>
      <c r="C24" s="2" t="s">
        <v>14</v>
      </c>
      <c r="D24" s="2" t="s">
        <v>23</v>
      </c>
      <c r="E24" s="2">
        <f>H20+50</f>
        <v>950</v>
      </c>
      <c r="F24" s="2">
        <v>100</v>
      </c>
      <c r="G24" s="2">
        <v>17</v>
      </c>
      <c r="H24" s="2">
        <v>3</v>
      </c>
      <c r="I24" s="2">
        <f t="shared" si="1"/>
        <v>0.17109956026561221</v>
      </c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2">
        <v>4</v>
      </c>
      <c r="B25" s="2" t="s">
        <v>25</v>
      </c>
      <c r="C25" s="2" t="s">
        <v>14</v>
      </c>
      <c r="D25" s="2" t="s">
        <v>24</v>
      </c>
      <c r="E25" s="2">
        <v>100</v>
      </c>
      <c r="F25" s="2">
        <v>100</v>
      </c>
      <c r="G25" s="2">
        <v>78</v>
      </c>
      <c r="H25" s="2">
        <v>9</v>
      </c>
      <c r="I25" s="2">
        <f t="shared" si="1"/>
        <v>0.24790896038484991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ht="15.75" x14ac:dyDescent="0.25">
      <c r="A28" s="3"/>
      <c r="B28" s="3"/>
      <c r="C28" s="3"/>
      <c r="D28" s="3"/>
      <c r="E28" s="3"/>
      <c r="F28" s="3"/>
      <c r="G28" s="3"/>
      <c r="H28" s="3"/>
      <c r="I28" s="4">
        <f>SUM(I22:I27)</f>
        <v>1.0253613482584212</v>
      </c>
      <c r="J28" s="4">
        <f>J22+I28</f>
        <v>1.1278974830842632</v>
      </c>
      <c r="K28" s="4">
        <f>J28*K22</f>
        <v>1043.3051718529434</v>
      </c>
      <c r="L28" s="4">
        <f>J28*L22</f>
        <v>169.18462246263948</v>
      </c>
      <c r="M28" s="4">
        <f>J28*M22</f>
        <v>33.836924492527899</v>
      </c>
      <c r="N28" s="4">
        <f>J28*N22</f>
        <v>73.313336400477112</v>
      </c>
      <c r="O28" s="4">
        <f>J28*O22</f>
        <v>11.278974830842632</v>
      </c>
      <c r="P28" s="4">
        <f>J28*P22</f>
        <v>5.6394874154213159</v>
      </c>
      <c r="Q28" s="4">
        <f>J28*Q22</f>
        <v>22.557949661685264</v>
      </c>
      <c r="R28" s="4">
        <f>SUM(K28:Q28)</f>
        <v>1359.1164671165373</v>
      </c>
      <c r="S28" s="4">
        <f>R28*S22</f>
        <v>203.86747006748058</v>
      </c>
      <c r="T28" s="5">
        <f>R28+S28</f>
        <v>1562.9839371840178</v>
      </c>
    </row>
    <row r="34" spans="1:20" ht="18.75" x14ac:dyDescent="0.3">
      <c r="A34" s="11">
        <v>3</v>
      </c>
      <c r="B34" s="1"/>
      <c r="C34" s="1"/>
      <c r="D34" s="1"/>
      <c r="E34" s="1"/>
      <c r="F34" s="1"/>
      <c r="G34" s="1">
        <v>25.4</v>
      </c>
      <c r="H34" s="8">
        <v>1000</v>
      </c>
      <c r="I34" s="9">
        <v>1100</v>
      </c>
      <c r="J34" s="9">
        <v>130</v>
      </c>
      <c r="K34" s="9">
        <v>17</v>
      </c>
      <c r="L34" s="9"/>
      <c r="M34" s="10"/>
      <c r="N34" s="1"/>
      <c r="O34" s="1"/>
      <c r="P34" s="1"/>
      <c r="Q34" s="1"/>
      <c r="R34" s="1"/>
      <c r="S34" s="1"/>
      <c r="T34" s="1"/>
    </row>
    <row r="35" spans="1:20" ht="15.75" x14ac:dyDescent="0.25">
      <c r="A35" s="4" t="s">
        <v>4</v>
      </c>
      <c r="B35" s="4" t="s">
        <v>5</v>
      </c>
      <c r="C35" s="4" t="s">
        <v>6</v>
      </c>
      <c r="D35" s="4" t="s">
        <v>15</v>
      </c>
      <c r="E35" s="4" t="s">
        <v>7</v>
      </c>
      <c r="F35" s="4" t="s">
        <v>16</v>
      </c>
      <c r="G35" s="4" t="s">
        <v>17</v>
      </c>
      <c r="H35" s="4" t="s">
        <v>1</v>
      </c>
      <c r="I35" s="4" t="s">
        <v>8</v>
      </c>
      <c r="J35" s="4" t="s">
        <v>18</v>
      </c>
      <c r="K35" s="4" t="s">
        <v>9</v>
      </c>
      <c r="L35" s="4" t="s">
        <v>10</v>
      </c>
      <c r="M35" s="4" t="s">
        <v>11</v>
      </c>
      <c r="N35" s="4" t="s">
        <v>3</v>
      </c>
      <c r="O35" s="4" t="s">
        <v>20</v>
      </c>
      <c r="P35" s="4" t="s">
        <v>19</v>
      </c>
      <c r="Q35" s="4" t="s">
        <v>21</v>
      </c>
      <c r="R35" s="4" t="s">
        <v>0</v>
      </c>
      <c r="S35" s="4" t="s">
        <v>12</v>
      </c>
      <c r="T35" s="4" t="s">
        <v>13</v>
      </c>
    </row>
    <row r="36" spans="1:20" x14ac:dyDescent="0.25">
      <c r="A36" s="2">
        <v>1</v>
      </c>
      <c r="B36" s="2" t="s">
        <v>25</v>
      </c>
      <c r="C36" s="2" t="s">
        <v>14</v>
      </c>
      <c r="D36" s="2" t="s">
        <v>2</v>
      </c>
      <c r="E36" s="2">
        <f>H34+50</f>
        <v>1050</v>
      </c>
      <c r="F36" s="2">
        <v>100</v>
      </c>
      <c r="G36" s="2">
        <v>17</v>
      </c>
      <c r="H36" s="2">
        <v>7</v>
      </c>
      <c r="I36" s="2">
        <f t="shared" ref="I36:I39" si="2">E36*F36*G36*H36/304.8/304.8/304.8</f>
        <v>0.44125676068499986</v>
      </c>
      <c r="J36" s="2">
        <f>I42*10%</f>
        <v>0.10853962816849519</v>
      </c>
      <c r="K36" s="2">
        <v>925</v>
      </c>
      <c r="L36" s="2">
        <v>150</v>
      </c>
      <c r="M36" s="6">
        <v>30</v>
      </c>
      <c r="N36" s="6">
        <v>65</v>
      </c>
      <c r="O36" s="6">
        <v>10</v>
      </c>
      <c r="P36" s="6">
        <v>5</v>
      </c>
      <c r="Q36" s="6">
        <v>20</v>
      </c>
      <c r="R36" s="6"/>
      <c r="S36" s="7">
        <v>0.15</v>
      </c>
      <c r="T36" s="6"/>
    </row>
    <row r="37" spans="1:20" x14ac:dyDescent="0.25">
      <c r="A37" s="2">
        <v>2</v>
      </c>
      <c r="B37" s="2" t="s">
        <v>25</v>
      </c>
      <c r="C37" s="2" t="s">
        <v>14</v>
      </c>
      <c r="D37" s="2" t="s">
        <v>22</v>
      </c>
      <c r="E37" s="2">
        <f>I34+50</f>
        <v>1150</v>
      </c>
      <c r="F37" s="2">
        <v>100</v>
      </c>
      <c r="G37" s="2">
        <v>17</v>
      </c>
      <c r="H37" s="2">
        <v>3</v>
      </c>
      <c r="I37" s="2">
        <f t="shared" si="2"/>
        <v>0.20712052032153055</v>
      </c>
      <c r="J37" s="2"/>
      <c r="K37" s="2"/>
      <c r="L37" s="2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2">
        <v>3</v>
      </c>
      <c r="B38" s="2" t="s">
        <v>25</v>
      </c>
      <c r="C38" s="2" t="s">
        <v>14</v>
      </c>
      <c r="D38" s="2" t="s">
        <v>23</v>
      </c>
      <c r="E38" s="2">
        <f>H34+50</f>
        <v>1050</v>
      </c>
      <c r="F38" s="2">
        <v>100</v>
      </c>
      <c r="G38" s="2">
        <v>17</v>
      </c>
      <c r="H38" s="2">
        <v>3</v>
      </c>
      <c r="I38" s="2">
        <f t="shared" si="2"/>
        <v>0.1891100402935714</v>
      </c>
      <c r="J38" s="2"/>
      <c r="K38" s="2"/>
      <c r="L38" s="2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2">
        <v>4</v>
      </c>
      <c r="B39" s="2" t="s">
        <v>25</v>
      </c>
      <c r="C39" s="2" t="s">
        <v>14</v>
      </c>
      <c r="D39" s="2" t="s">
        <v>24</v>
      </c>
      <c r="E39" s="2">
        <v>100</v>
      </c>
      <c r="F39" s="2">
        <v>100</v>
      </c>
      <c r="G39" s="2">
        <v>78</v>
      </c>
      <c r="H39" s="2">
        <v>9</v>
      </c>
      <c r="I39" s="2">
        <f t="shared" si="2"/>
        <v>0.24790896038484991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ht="15.75" x14ac:dyDescent="0.25">
      <c r="A42" s="3"/>
      <c r="B42" s="3"/>
      <c r="C42" s="3"/>
      <c r="D42" s="3"/>
      <c r="E42" s="3"/>
      <c r="F42" s="3"/>
      <c r="G42" s="3"/>
      <c r="H42" s="3"/>
      <c r="I42" s="4">
        <f>SUM(I36:I41)</f>
        <v>1.0853962816849518</v>
      </c>
      <c r="J42" s="4">
        <f>J36+I42</f>
        <v>1.193935909853447</v>
      </c>
      <c r="K42" s="4">
        <f>J42*K36</f>
        <v>1104.3907166144384</v>
      </c>
      <c r="L42" s="4">
        <f>J42*L36</f>
        <v>179.09038647801705</v>
      </c>
      <c r="M42" s="4">
        <f>J42*M36</f>
        <v>35.818077295603409</v>
      </c>
      <c r="N42" s="4">
        <f>J42*N36</f>
        <v>77.605834140474059</v>
      </c>
      <c r="O42" s="4">
        <f>J42*O36</f>
        <v>11.939359098534471</v>
      </c>
      <c r="P42" s="4">
        <f>J42*P36</f>
        <v>5.9696795492672354</v>
      </c>
      <c r="Q42" s="4">
        <f>J42*Q36</f>
        <v>23.878718197068942</v>
      </c>
      <c r="R42" s="4">
        <f>SUM(K42:Q42)</f>
        <v>1438.6927713734037</v>
      </c>
      <c r="S42" s="4">
        <f>R42*S36</f>
        <v>215.80391570601054</v>
      </c>
      <c r="T42" s="5">
        <f>R42+S42</f>
        <v>1654.4966870794142</v>
      </c>
    </row>
    <row r="49" spans="1:20" ht="18.75" x14ac:dyDescent="0.3">
      <c r="A49" s="11">
        <v>4</v>
      </c>
      <c r="B49" s="1"/>
      <c r="C49" s="1"/>
      <c r="D49" s="1"/>
      <c r="E49" s="1"/>
      <c r="F49" s="1"/>
      <c r="G49" s="1">
        <v>25.4</v>
      </c>
      <c r="H49" s="8">
        <v>1100</v>
      </c>
      <c r="I49" s="9">
        <v>900</v>
      </c>
      <c r="J49" s="9">
        <v>130</v>
      </c>
      <c r="K49" s="9">
        <v>17</v>
      </c>
      <c r="L49" s="9"/>
      <c r="M49" s="10"/>
      <c r="N49" s="1"/>
      <c r="O49" s="1"/>
      <c r="P49" s="1"/>
      <c r="Q49" s="1"/>
      <c r="R49" s="1"/>
      <c r="S49" s="1"/>
      <c r="T49" s="1"/>
    </row>
    <row r="50" spans="1:20" ht="15.75" x14ac:dyDescent="0.25">
      <c r="A50" s="4" t="s">
        <v>4</v>
      </c>
      <c r="B50" s="4" t="s">
        <v>5</v>
      </c>
      <c r="C50" s="4" t="s">
        <v>6</v>
      </c>
      <c r="D50" s="4" t="s">
        <v>15</v>
      </c>
      <c r="E50" s="4" t="s">
        <v>7</v>
      </c>
      <c r="F50" s="4" t="s">
        <v>16</v>
      </c>
      <c r="G50" s="4" t="s">
        <v>17</v>
      </c>
      <c r="H50" s="4" t="s">
        <v>1</v>
      </c>
      <c r="I50" s="4" t="s">
        <v>8</v>
      </c>
      <c r="J50" s="4" t="s">
        <v>18</v>
      </c>
      <c r="K50" s="4" t="s">
        <v>9</v>
      </c>
      <c r="L50" s="4" t="s">
        <v>10</v>
      </c>
      <c r="M50" s="4" t="s">
        <v>11</v>
      </c>
      <c r="N50" s="4" t="s">
        <v>3</v>
      </c>
      <c r="O50" s="4" t="s">
        <v>20</v>
      </c>
      <c r="P50" s="4" t="s">
        <v>19</v>
      </c>
      <c r="Q50" s="4" t="s">
        <v>21</v>
      </c>
      <c r="R50" s="4" t="s">
        <v>0</v>
      </c>
      <c r="S50" s="4" t="s">
        <v>12</v>
      </c>
      <c r="T50" s="4" t="s">
        <v>13</v>
      </c>
    </row>
    <row r="51" spans="1:20" x14ac:dyDescent="0.25">
      <c r="A51" s="2">
        <v>1</v>
      </c>
      <c r="B51" s="2" t="s">
        <v>25</v>
      </c>
      <c r="C51" s="2" t="s">
        <v>14</v>
      </c>
      <c r="D51" s="2" t="s">
        <v>2</v>
      </c>
      <c r="E51" s="2">
        <f>H49+50</f>
        <v>1150</v>
      </c>
      <c r="F51" s="2">
        <v>100</v>
      </c>
      <c r="G51" s="2">
        <v>17</v>
      </c>
      <c r="H51" s="2">
        <v>7</v>
      </c>
      <c r="I51" s="2">
        <f t="shared" ref="I51:I54" si="3">E51*F51*G51*H51/304.8/304.8/304.8</f>
        <v>0.48328121408357128</v>
      </c>
      <c r="J51" s="2">
        <f>I57*10%</f>
        <v>0.1109410255055564</v>
      </c>
      <c r="K51" s="2">
        <v>925</v>
      </c>
      <c r="L51" s="2">
        <v>150</v>
      </c>
      <c r="M51" s="6">
        <v>30</v>
      </c>
      <c r="N51" s="6">
        <v>65</v>
      </c>
      <c r="O51" s="6">
        <v>10</v>
      </c>
      <c r="P51" s="6">
        <v>5</v>
      </c>
      <c r="Q51" s="6">
        <v>20</v>
      </c>
      <c r="R51" s="6"/>
      <c r="S51" s="7">
        <v>0.15</v>
      </c>
      <c r="T51" s="6"/>
    </row>
    <row r="52" spans="1:20" x14ac:dyDescent="0.25">
      <c r="A52" s="2">
        <v>2</v>
      </c>
      <c r="B52" s="2" t="s">
        <v>25</v>
      </c>
      <c r="C52" s="2" t="s">
        <v>14</v>
      </c>
      <c r="D52" s="2" t="s">
        <v>22</v>
      </c>
      <c r="E52" s="2">
        <f>I49+50</f>
        <v>950</v>
      </c>
      <c r="F52" s="2">
        <v>100</v>
      </c>
      <c r="G52" s="2">
        <v>17</v>
      </c>
      <c r="H52" s="2">
        <v>3</v>
      </c>
      <c r="I52" s="2">
        <f t="shared" si="3"/>
        <v>0.17109956026561221</v>
      </c>
      <c r="J52" s="2"/>
      <c r="K52" s="2"/>
      <c r="L52" s="2"/>
      <c r="M52" s="6"/>
      <c r="N52" s="6"/>
      <c r="O52" s="6"/>
      <c r="P52" s="6"/>
      <c r="Q52" s="6"/>
      <c r="R52" s="6"/>
      <c r="S52" s="6"/>
      <c r="T52" s="6"/>
    </row>
    <row r="53" spans="1:20" x14ac:dyDescent="0.25">
      <c r="A53" s="2">
        <v>3</v>
      </c>
      <c r="B53" s="2" t="s">
        <v>25</v>
      </c>
      <c r="C53" s="2" t="s">
        <v>14</v>
      </c>
      <c r="D53" s="2" t="s">
        <v>23</v>
      </c>
      <c r="E53" s="2">
        <f>H49+50</f>
        <v>1150</v>
      </c>
      <c r="F53" s="2">
        <v>100</v>
      </c>
      <c r="G53" s="2">
        <v>17</v>
      </c>
      <c r="H53" s="2">
        <v>3</v>
      </c>
      <c r="I53" s="2">
        <f t="shared" si="3"/>
        <v>0.20712052032153055</v>
      </c>
      <c r="J53" s="2"/>
      <c r="K53" s="2"/>
      <c r="L53" s="2"/>
      <c r="M53" s="6"/>
      <c r="N53" s="6"/>
      <c r="O53" s="6"/>
      <c r="P53" s="6"/>
      <c r="Q53" s="6"/>
      <c r="R53" s="6"/>
      <c r="S53" s="6"/>
      <c r="T53" s="6"/>
    </row>
    <row r="54" spans="1:20" x14ac:dyDescent="0.25">
      <c r="A54" s="2">
        <v>4</v>
      </c>
      <c r="B54" s="2" t="s">
        <v>25</v>
      </c>
      <c r="C54" s="2" t="s">
        <v>14</v>
      </c>
      <c r="D54" s="2" t="s">
        <v>24</v>
      </c>
      <c r="E54" s="2">
        <v>100</v>
      </c>
      <c r="F54" s="2">
        <v>100</v>
      </c>
      <c r="G54" s="2">
        <v>78</v>
      </c>
      <c r="H54" s="2">
        <v>9</v>
      </c>
      <c r="I54" s="2">
        <f t="shared" si="3"/>
        <v>0.24790896038484991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ht="15.75" x14ac:dyDescent="0.25">
      <c r="A57" s="3"/>
      <c r="B57" s="3"/>
      <c r="C57" s="3"/>
      <c r="D57" s="3"/>
      <c r="E57" s="3"/>
      <c r="F57" s="3"/>
      <c r="G57" s="3"/>
      <c r="H57" s="3"/>
      <c r="I57" s="4">
        <f>SUM(I51:I56)</f>
        <v>1.109410255055564</v>
      </c>
      <c r="J57" s="4">
        <f>J51+I57</f>
        <v>1.2203512805611205</v>
      </c>
      <c r="K57" s="4">
        <f>J57*K51</f>
        <v>1128.8249345190366</v>
      </c>
      <c r="L57" s="4">
        <f>J57*L51</f>
        <v>183.05269208416809</v>
      </c>
      <c r="M57" s="4">
        <f>J57*M51</f>
        <v>36.610538416833613</v>
      </c>
      <c r="N57" s="4">
        <f>J57*N51</f>
        <v>79.322833236472832</v>
      </c>
      <c r="O57" s="4">
        <f>J57*O51</f>
        <v>12.203512805611204</v>
      </c>
      <c r="P57" s="4">
        <f>J57*P51</f>
        <v>6.1017564028056022</v>
      </c>
      <c r="Q57" s="4">
        <f>J57*Q51</f>
        <v>24.407025611222409</v>
      </c>
      <c r="R57" s="4">
        <f>SUM(K57:Q57)</f>
        <v>1470.5232930761504</v>
      </c>
      <c r="S57" s="4">
        <f>R57*S51</f>
        <v>220.57849396142254</v>
      </c>
      <c r="T57" s="5">
        <f>R57+S57</f>
        <v>1691.1017870375729</v>
      </c>
    </row>
    <row r="71" spans="1:20" ht="18.75" x14ac:dyDescent="0.3">
      <c r="A71" s="11">
        <v>4</v>
      </c>
      <c r="B71" s="1"/>
      <c r="C71" s="1"/>
      <c r="D71" s="1"/>
      <c r="E71" s="1"/>
      <c r="F71" s="1"/>
      <c r="G71" s="1">
        <v>25.4</v>
      </c>
      <c r="H71" s="8">
        <v>1140</v>
      </c>
      <c r="I71" s="9">
        <v>1080</v>
      </c>
      <c r="J71" s="9">
        <v>130</v>
      </c>
      <c r="K71" s="9">
        <v>17</v>
      </c>
      <c r="L71" s="9"/>
      <c r="M71" s="10"/>
      <c r="N71" s="1"/>
      <c r="O71" s="1"/>
      <c r="P71" s="1"/>
      <c r="Q71" s="1"/>
      <c r="R71" s="1"/>
      <c r="S71" s="1"/>
      <c r="T71" s="1"/>
    </row>
    <row r="72" spans="1:20" ht="15.75" x14ac:dyDescent="0.25">
      <c r="A72" s="4" t="s">
        <v>4</v>
      </c>
      <c r="B72" s="4" t="s">
        <v>5</v>
      </c>
      <c r="C72" s="4" t="s">
        <v>6</v>
      </c>
      <c r="D72" s="4" t="s">
        <v>15</v>
      </c>
      <c r="E72" s="4" t="s">
        <v>7</v>
      </c>
      <c r="F72" s="4" t="s">
        <v>16</v>
      </c>
      <c r="G72" s="4" t="s">
        <v>17</v>
      </c>
      <c r="H72" s="4" t="s">
        <v>1</v>
      </c>
      <c r="I72" s="4" t="s">
        <v>8</v>
      </c>
      <c r="J72" s="4" t="s">
        <v>18</v>
      </c>
      <c r="K72" s="4" t="s">
        <v>9</v>
      </c>
      <c r="L72" s="4" t="s">
        <v>10</v>
      </c>
      <c r="M72" s="4" t="s">
        <v>11</v>
      </c>
      <c r="N72" s="4" t="s">
        <v>3</v>
      </c>
      <c r="O72" s="4" t="s">
        <v>20</v>
      </c>
      <c r="P72" s="4" t="s">
        <v>19</v>
      </c>
      <c r="Q72" s="4" t="s">
        <v>21</v>
      </c>
      <c r="R72" s="4" t="s">
        <v>0</v>
      </c>
      <c r="S72" s="4" t="s">
        <v>12</v>
      </c>
      <c r="T72" s="4" t="s">
        <v>13</v>
      </c>
    </row>
    <row r="73" spans="1:20" x14ac:dyDescent="0.25">
      <c r="A73" s="2">
        <v>1</v>
      </c>
      <c r="B73" s="2" t="s">
        <v>25</v>
      </c>
      <c r="C73" s="2" t="s">
        <v>14</v>
      </c>
      <c r="D73" s="2" t="s">
        <v>2</v>
      </c>
      <c r="E73" s="2">
        <f>H71</f>
        <v>1140</v>
      </c>
      <c r="F73" s="2">
        <v>75</v>
      </c>
      <c r="G73" s="2">
        <v>16</v>
      </c>
      <c r="H73" s="2">
        <v>7</v>
      </c>
      <c r="I73" s="2">
        <f t="shared" ref="I73:I76" si="4">E73*F73*G73*H73/304.8/304.8/304.8</f>
        <v>0.33817324852497466</v>
      </c>
      <c r="J73" s="2">
        <f>I79*10%</f>
        <v>7.6843831919291117E-2</v>
      </c>
      <c r="K73" s="2">
        <v>925</v>
      </c>
      <c r="L73" s="2">
        <v>150</v>
      </c>
      <c r="M73" s="6">
        <v>30</v>
      </c>
      <c r="N73" s="6">
        <v>30</v>
      </c>
      <c r="O73" s="6">
        <v>10</v>
      </c>
      <c r="P73" s="6">
        <v>5</v>
      </c>
      <c r="Q73" s="6">
        <v>20</v>
      </c>
      <c r="R73" s="6"/>
      <c r="S73" s="7">
        <v>0.15</v>
      </c>
      <c r="T73" s="6"/>
    </row>
    <row r="74" spans="1:20" x14ac:dyDescent="0.25">
      <c r="A74" s="2">
        <v>2</v>
      </c>
      <c r="B74" s="2" t="s">
        <v>25</v>
      </c>
      <c r="C74" s="2" t="s">
        <v>14</v>
      </c>
      <c r="D74" s="2" t="s">
        <v>22</v>
      </c>
      <c r="E74" s="2">
        <f>I71</f>
        <v>1080</v>
      </c>
      <c r="F74" s="2">
        <v>75</v>
      </c>
      <c r="G74" s="2">
        <v>17</v>
      </c>
      <c r="H74" s="2">
        <v>3</v>
      </c>
      <c r="I74" s="2">
        <f t="shared" si="4"/>
        <v>0.14588488822646933</v>
      </c>
      <c r="J74" s="2"/>
      <c r="K74" s="2"/>
      <c r="L74" s="2"/>
      <c r="M74" s="6"/>
      <c r="N74" s="6"/>
      <c r="O74" s="6"/>
      <c r="P74" s="6"/>
      <c r="Q74" s="6"/>
      <c r="R74" s="6"/>
      <c r="S74" s="6"/>
      <c r="T74" s="6"/>
    </row>
    <row r="75" spans="1:20" x14ac:dyDescent="0.25">
      <c r="A75" s="2">
        <v>3</v>
      </c>
      <c r="B75" s="2" t="s">
        <v>25</v>
      </c>
      <c r="C75" s="2" t="s">
        <v>14</v>
      </c>
      <c r="D75" s="2" t="s">
        <v>23</v>
      </c>
      <c r="E75" s="2">
        <f>H71</f>
        <v>1140</v>
      </c>
      <c r="F75" s="2">
        <v>75</v>
      </c>
      <c r="G75" s="2">
        <v>16</v>
      </c>
      <c r="H75" s="2">
        <v>3</v>
      </c>
      <c r="I75" s="2">
        <f t="shared" si="4"/>
        <v>0.14493139222498916</v>
      </c>
      <c r="J75" s="2"/>
      <c r="K75" s="2"/>
      <c r="L75" s="2"/>
      <c r="M75" s="6"/>
      <c r="N75" s="6"/>
      <c r="O75" s="6"/>
      <c r="P75" s="6"/>
      <c r="Q75" s="6"/>
      <c r="R75" s="6"/>
      <c r="S75" s="6"/>
      <c r="T75" s="6"/>
    </row>
    <row r="76" spans="1:20" x14ac:dyDescent="0.25">
      <c r="A76" s="2">
        <v>4</v>
      </c>
      <c r="B76" s="2" t="s">
        <v>25</v>
      </c>
      <c r="C76" s="2" t="s">
        <v>14</v>
      </c>
      <c r="D76" s="2" t="s">
        <v>24</v>
      </c>
      <c r="E76" s="2">
        <v>75</v>
      </c>
      <c r="F76" s="2">
        <v>75</v>
      </c>
      <c r="G76" s="2">
        <v>78</v>
      </c>
      <c r="H76" s="2">
        <v>9</v>
      </c>
      <c r="I76" s="2">
        <f t="shared" si="4"/>
        <v>0.13944879021647805</v>
      </c>
      <c r="J76" s="2"/>
      <c r="K76" s="2"/>
      <c r="L76" s="2"/>
      <c r="M76" s="6"/>
      <c r="N76" s="6"/>
      <c r="O76" s="6"/>
      <c r="P76" s="6"/>
      <c r="Q76" s="6"/>
      <c r="R76" s="6"/>
      <c r="S76" s="6"/>
      <c r="T76" s="6"/>
    </row>
    <row r="77" spans="1:2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</row>
    <row r="78" spans="1:2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"/>
      <c r="N78" s="6"/>
      <c r="O78" s="6"/>
      <c r="P78" s="6"/>
      <c r="Q78" s="6"/>
      <c r="R78" s="6"/>
      <c r="S78" s="6"/>
      <c r="T78" s="6"/>
    </row>
    <row r="79" spans="1:20" ht="15.75" x14ac:dyDescent="0.25">
      <c r="A79" s="3"/>
      <c r="B79" s="3"/>
      <c r="C79" s="3"/>
      <c r="D79" s="3"/>
      <c r="E79" s="3"/>
      <c r="F79" s="3"/>
      <c r="G79" s="3"/>
      <c r="H79" s="3"/>
      <c r="I79" s="4">
        <f>SUM(I73:I78)</f>
        <v>0.76843831919291117</v>
      </c>
      <c r="J79" s="4">
        <f>J73+I79</f>
        <v>0.84528215111220228</v>
      </c>
      <c r="K79" s="4">
        <f>J79*K73</f>
        <v>781.88598977878712</v>
      </c>
      <c r="L79" s="4">
        <f>J79*L73</f>
        <v>126.79232266683034</v>
      </c>
      <c r="M79" s="4">
        <f>J79*M73</f>
        <v>25.358464533366067</v>
      </c>
      <c r="N79" s="4">
        <f>J79*N73</f>
        <v>25.358464533366067</v>
      </c>
      <c r="O79" s="4">
        <f>J79*O73</f>
        <v>8.4528215111220231</v>
      </c>
      <c r="P79" s="4">
        <f>J79*P73</f>
        <v>4.2264107555610115</v>
      </c>
      <c r="Q79" s="4">
        <f>J79*Q73</f>
        <v>16.905643022244046</v>
      </c>
      <c r="R79" s="4">
        <f>SUM(K79:Q79)</f>
        <v>988.98011680127661</v>
      </c>
      <c r="S79" s="4">
        <f>R79*S73</f>
        <v>148.34701752019149</v>
      </c>
      <c r="T79" s="5">
        <f>R79+S79</f>
        <v>1137.3271343214681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T104"/>
  <sheetViews>
    <sheetView workbookViewId="0">
      <selection activeCell="G13" sqref="G13"/>
    </sheetView>
  </sheetViews>
  <sheetFormatPr defaultRowHeight="15" x14ac:dyDescent="0.25"/>
  <cols>
    <col min="1" max="1" width="9.42578125" customWidth="1"/>
    <col min="2" max="2" width="12" customWidth="1"/>
    <col min="3" max="3" width="11.5703125" customWidth="1"/>
    <col min="4" max="4" width="10.28515625" customWidth="1"/>
    <col min="10" max="10" width="11.140625" customWidth="1"/>
    <col min="11" max="11" width="11" customWidth="1"/>
    <col min="13" max="13" width="9.140625" customWidth="1"/>
    <col min="14" max="14" width="13.28515625" customWidth="1"/>
    <col min="15" max="15" width="12.28515625" customWidth="1"/>
    <col min="20" max="20" width="13.28515625" customWidth="1"/>
  </cols>
  <sheetData>
    <row r="6" spans="1:20" ht="18.75" x14ac:dyDescent="0.3">
      <c r="A6" s="11">
        <v>1</v>
      </c>
      <c r="B6" s="1"/>
      <c r="C6" s="1"/>
      <c r="D6" s="1"/>
      <c r="E6" s="1"/>
      <c r="F6" s="1"/>
      <c r="G6" s="1">
        <v>25.4</v>
      </c>
      <c r="H6" s="12">
        <v>1150</v>
      </c>
      <c r="I6" s="13">
        <v>1150</v>
      </c>
      <c r="J6" s="13">
        <v>150</v>
      </c>
      <c r="K6" s="9">
        <v>22</v>
      </c>
      <c r="L6" s="9"/>
      <c r="M6" s="10"/>
      <c r="N6" s="1"/>
      <c r="O6" s="1"/>
      <c r="P6" s="1"/>
      <c r="Q6" s="1"/>
      <c r="R6" s="1"/>
      <c r="S6" s="1"/>
      <c r="T6" s="1"/>
    </row>
    <row r="7" spans="1:20" ht="15.75" x14ac:dyDescent="0.25">
      <c r="A7" s="4" t="s">
        <v>4</v>
      </c>
      <c r="B7" s="4" t="s">
        <v>5</v>
      </c>
      <c r="C7" s="4" t="s">
        <v>6</v>
      </c>
      <c r="D7" s="4" t="s">
        <v>15</v>
      </c>
      <c r="E7" s="4" t="s">
        <v>7</v>
      </c>
      <c r="F7" s="4" t="s">
        <v>16</v>
      </c>
      <c r="G7" s="4" t="s">
        <v>17</v>
      </c>
      <c r="H7" s="4" t="s">
        <v>1</v>
      </c>
      <c r="I7" s="4" t="s">
        <v>8</v>
      </c>
      <c r="J7" s="4" t="s">
        <v>18</v>
      </c>
      <c r="K7" s="4" t="s">
        <v>9</v>
      </c>
      <c r="L7" s="4" t="s">
        <v>10</v>
      </c>
      <c r="M7" s="4" t="s">
        <v>11</v>
      </c>
      <c r="N7" s="4" t="s">
        <v>3</v>
      </c>
      <c r="O7" s="4" t="s">
        <v>20</v>
      </c>
      <c r="P7" s="4" t="s">
        <v>19</v>
      </c>
      <c r="Q7" s="4" t="s">
        <v>21</v>
      </c>
      <c r="R7" s="4" t="s">
        <v>0</v>
      </c>
      <c r="S7" s="4" t="s">
        <v>12</v>
      </c>
      <c r="T7" s="4" t="s">
        <v>13</v>
      </c>
    </row>
    <row r="8" spans="1:20" x14ac:dyDescent="0.25">
      <c r="A8" s="2">
        <v>1</v>
      </c>
      <c r="B8" s="2" t="s">
        <v>25</v>
      </c>
      <c r="C8" s="2" t="s">
        <v>14</v>
      </c>
      <c r="D8" s="2" t="s">
        <v>2</v>
      </c>
      <c r="E8" s="2">
        <f>H6+50</f>
        <v>1200</v>
      </c>
      <c r="F8" s="2">
        <v>100</v>
      </c>
      <c r="G8" s="2">
        <v>22</v>
      </c>
      <c r="H8" s="2">
        <v>7</v>
      </c>
      <c r="I8" s="2">
        <f t="shared" ref="I8:I11" si="0">E8*F8*G8*H8/304.8/304.8/304.8</f>
        <v>0.65261504101310908</v>
      </c>
      <c r="J8" s="2">
        <f>I14*10%</f>
        <v>0.14821565623008759</v>
      </c>
      <c r="K8" s="2">
        <v>925</v>
      </c>
      <c r="L8" s="2">
        <v>150</v>
      </c>
      <c r="M8" s="6">
        <v>30</v>
      </c>
      <c r="N8" s="6">
        <v>60</v>
      </c>
      <c r="O8" s="6">
        <v>10</v>
      </c>
      <c r="P8" s="6">
        <v>5</v>
      </c>
      <c r="Q8" s="6">
        <v>20</v>
      </c>
      <c r="R8" s="6"/>
      <c r="S8" s="7">
        <v>0.15</v>
      </c>
      <c r="T8" s="6"/>
    </row>
    <row r="9" spans="1:20" x14ac:dyDescent="0.25">
      <c r="A9" s="2">
        <v>2</v>
      </c>
      <c r="B9" s="2" t="s">
        <v>25</v>
      </c>
      <c r="C9" s="2" t="s">
        <v>14</v>
      </c>
      <c r="D9" s="2" t="s">
        <v>22</v>
      </c>
      <c r="E9" s="2">
        <f>I6+50</f>
        <v>1200</v>
      </c>
      <c r="F9" s="2">
        <v>100</v>
      </c>
      <c r="G9" s="2">
        <v>22</v>
      </c>
      <c r="H9" s="2">
        <v>3</v>
      </c>
      <c r="I9" s="2">
        <f t="shared" si="0"/>
        <v>0.2796921604341896</v>
      </c>
      <c r="J9" s="2"/>
      <c r="K9" s="2"/>
      <c r="L9" s="2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2">
        <v>3</v>
      </c>
      <c r="B10" s="2" t="s">
        <v>25</v>
      </c>
      <c r="C10" s="2" t="s">
        <v>14</v>
      </c>
      <c r="D10" s="2" t="s">
        <v>23</v>
      </c>
      <c r="E10" s="2">
        <f>H6+50</f>
        <v>1200</v>
      </c>
      <c r="F10" s="2">
        <v>100</v>
      </c>
      <c r="G10" s="2">
        <v>22</v>
      </c>
      <c r="H10" s="2">
        <v>3</v>
      </c>
      <c r="I10" s="2">
        <f t="shared" si="0"/>
        <v>0.2796921604341896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2">
        <v>4</v>
      </c>
      <c r="B11" s="2" t="s">
        <v>25</v>
      </c>
      <c r="C11" s="2" t="s">
        <v>14</v>
      </c>
      <c r="D11" s="2" t="s">
        <v>24</v>
      </c>
      <c r="E11" s="2">
        <v>100</v>
      </c>
      <c r="F11" s="2">
        <v>100</v>
      </c>
      <c r="G11" s="2">
        <v>85</v>
      </c>
      <c r="H11" s="2">
        <v>9</v>
      </c>
      <c r="I11" s="2">
        <f t="shared" si="0"/>
        <v>0.27015720041938768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ht="15.75" x14ac:dyDescent="0.25">
      <c r="A14" s="3"/>
      <c r="B14" s="3"/>
      <c r="C14" s="3"/>
      <c r="D14" s="3"/>
      <c r="E14" s="3"/>
      <c r="F14" s="3"/>
      <c r="G14" s="3"/>
      <c r="H14" s="3"/>
      <c r="I14" s="4">
        <f>SUM(I8:I13)</f>
        <v>1.4821565623008759</v>
      </c>
      <c r="J14" s="4">
        <f>J8+I14</f>
        <v>1.6303722185309635</v>
      </c>
      <c r="K14" s="4">
        <f>J14*K8</f>
        <v>1508.0943021411413</v>
      </c>
      <c r="L14" s="4">
        <f>J14*L8</f>
        <v>244.55583277964453</v>
      </c>
      <c r="M14" s="4">
        <f>J14*M8</f>
        <v>48.911166555928901</v>
      </c>
      <c r="N14" s="4">
        <f>J14*N8</f>
        <v>97.822333111857802</v>
      </c>
      <c r="O14" s="4">
        <f>J14*O8</f>
        <v>16.303722185309635</v>
      </c>
      <c r="P14" s="4">
        <f>J14*P8</f>
        <v>8.1518610926548174</v>
      </c>
      <c r="Q14" s="4">
        <f>J14*Q8</f>
        <v>32.60744437061927</v>
      </c>
      <c r="R14" s="4">
        <f>SUM(K14:Q14)</f>
        <v>1956.4466622371563</v>
      </c>
      <c r="S14" s="4">
        <f>R14*S8</f>
        <v>293.46699933557341</v>
      </c>
      <c r="T14" s="5">
        <f>R14+S14</f>
        <v>2249.9136615727298</v>
      </c>
    </row>
    <row r="21" spans="1:20" ht="18.75" x14ac:dyDescent="0.3">
      <c r="A21" s="11">
        <v>2</v>
      </c>
      <c r="B21" s="1"/>
      <c r="C21" s="1"/>
      <c r="D21" s="1"/>
      <c r="E21" s="1"/>
      <c r="F21" s="1"/>
      <c r="G21" s="1">
        <v>25.4</v>
      </c>
      <c r="H21" s="12">
        <v>1000</v>
      </c>
      <c r="I21" s="13">
        <v>1000</v>
      </c>
      <c r="J21" s="13">
        <v>150</v>
      </c>
      <c r="K21" s="9">
        <v>22</v>
      </c>
      <c r="L21" s="9"/>
      <c r="M21" s="10"/>
      <c r="N21" s="1"/>
      <c r="O21" s="1"/>
      <c r="P21" s="1"/>
      <c r="Q21" s="1"/>
      <c r="R21" s="1"/>
      <c r="S21" s="1"/>
      <c r="T21" s="1"/>
    </row>
    <row r="22" spans="1:20" ht="15.75" x14ac:dyDescent="0.25">
      <c r="A22" s="4" t="s">
        <v>4</v>
      </c>
      <c r="B22" s="4" t="s">
        <v>5</v>
      </c>
      <c r="C22" s="4" t="s">
        <v>6</v>
      </c>
      <c r="D22" s="4" t="s">
        <v>15</v>
      </c>
      <c r="E22" s="4" t="s">
        <v>7</v>
      </c>
      <c r="F22" s="4" t="s">
        <v>16</v>
      </c>
      <c r="G22" s="4" t="s">
        <v>17</v>
      </c>
      <c r="H22" s="4" t="s">
        <v>1</v>
      </c>
      <c r="I22" s="4" t="s">
        <v>8</v>
      </c>
      <c r="J22" s="4" t="s">
        <v>18</v>
      </c>
      <c r="K22" s="4" t="s">
        <v>9</v>
      </c>
      <c r="L22" s="4" t="s">
        <v>10</v>
      </c>
      <c r="M22" s="4" t="s">
        <v>11</v>
      </c>
      <c r="N22" s="4" t="s">
        <v>3</v>
      </c>
      <c r="O22" s="4" t="s">
        <v>20</v>
      </c>
      <c r="P22" s="4" t="s">
        <v>19</v>
      </c>
      <c r="Q22" s="4" t="s">
        <v>21</v>
      </c>
      <c r="R22" s="4" t="s">
        <v>0</v>
      </c>
      <c r="S22" s="4" t="s">
        <v>12</v>
      </c>
      <c r="T22" s="4" t="s">
        <v>13</v>
      </c>
    </row>
    <row r="23" spans="1:20" x14ac:dyDescent="0.25">
      <c r="A23" s="2">
        <v>1</v>
      </c>
      <c r="B23" s="2" t="s">
        <v>25</v>
      </c>
      <c r="C23" s="2" t="s">
        <v>14</v>
      </c>
      <c r="D23" s="2" t="s">
        <v>2</v>
      </c>
      <c r="E23" s="2">
        <f>H21+50</f>
        <v>1050</v>
      </c>
      <c r="F23" s="2">
        <v>100</v>
      </c>
      <c r="G23" s="2">
        <v>22</v>
      </c>
      <c r="H23" s="2">
        <v>7</v>
      </c>
      <c r="I23" s="2">
        <f>E23*F23*G23*H23/304.8/304.8/304.8</f>
        <v>0.57103816088647041</v>
      </c>
      <c r="J23" s="2">
        <f>I29*10%</f>
        <v>0.13306566420656901</v>
      </c>
      <c r="K23" s="2">
        <v>925</v>
      </c>
      <c r="L23" s="2">
        <v>150</v>
      </c>
      <c r="M23" s="6">
        <v>30</v>
      </c>
      <c r="N23" s="6">
        <v>65</v>
      </c>
      <c r="O23" s="6">
        <v>10</v>
      </c>
      <c r="P23" s="6">
        <v>5</v>
      </c>
      <c r="Q23" s="6">
        <v>20</v>
      </c>
      <c r="R23" s="6"/>
      <c r="S23" s="7">
        <v>0.15</v>
      </c>
      <c r="T23" s="6"/>
    </row>
    <row r="24" spans="1:20" x14ac:dyDescent="0.25">
      <c r="A24" s="2">
        <v>2</v>
      </c>
      <c r="B24" s="2" t="s">
        <v>25</v>
      </c>
      <c r="C24" s="2" t="s">
        <v>14</v>
      </c>
      <c r="D24" s="2" t="s">
        <v>22</v>
      </c>
      <c r="E24" s="2">
        <f>I21+50</f>
        <v>1050</v>
      </c>
      <c r="F24" s="2">
        <v>100</v>
      </c>
      <c r="G24" s="2">
        <v>22</v>
      </c>
      <c r="H24" s="2">
        <v>3</v>
      </c>
      <c r="I24" s="2">
        <f>E24*F24*G24*H24/304.8/304.8/304.8</f>
        <v>0.2447306403799159</v>
      </c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2">
        <v>3</v>
      </c>
      <c r="B25" s="2" t="s">
        <v>25</v>
      </c>
      <c r="C25" s="2" t="s">
        <v>14</v>
      </c>
      <c r="D25" s="2" t="s">
        <v>23</v>
      </c>
      <c r="E25" s="2">
        <f>H21+50</f>
        <v>1050</v>
      </c>
      <c r="F25" s="2">
        <v>100</v>
      </c>
      <c r="G25" s="2">
        <v>22</v>
      </c>
      <c r="H25" s="2">
        <v>3</v>
      </c>
      <c r="I25" s="2">
        <f>E25*F25*G25*H25/304.8/304.8/304.8</f>
        <v>0.2447306403799159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2">
        <v>4</v>
      </c>
      <c r="B26" s="2" t="s">
        <v>25</v>
      </c>
      <c r="C26" s="2" t="s">
        <v>14</v>
      </c>
      <c r="D26" s="2" t="s">
        <v>24</v>
      </c>
      <c r="E26" s="2">
        <v>100</v>
      </c>
      <c r="F26" s="2">
        <v>100</v>
      </c>
      <c r="G26" s="2">
        <v>85</v>
      </c>
      <c r="H26" s="2">
        <v>9</v>
      </c>
      <c r="I26" s="2">
        <f>E26*F26*G26*H26/304.8/304.8/304.8</f>
        <v>0.27015720041938768</v>
      </c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  <c r="N28" s="6"/>
      <c r="O28" s="6"/>
      <c r="P28" s="6"/>
      <c r="Q28" s="6"/>
      <c r="R28" s="6"/>
      <c r="S28" s="6"/>
      <c r="T28" s="6"/>
    </row>
    <row r="29" spans="1:20" ht="15.75" x14ac:dyDescent="0.25">
      <c r="A29" s="3"/>
      <c r="B29" s="3"/>
      <c r="C29" s="3"/>
      <c r="D29" s="3"/>
      <c r="E29" s="3"/>
      <c r="F29" s="3"/>
      <c r="G29" s="3"/>
      <c r="H29" s="3"/>
      <c r="I29" s="4">
        <f>SUM(I23:I28)</f>
        <v>1.33065664206569</v>
      </c>
      <c r="J29" s="4">
        <f>J23+I29</f>
        <v>1.4637223062722591</v>
      </c>
      <c r="K29" s="4">
        <f>J29*K23</f>
        <v>1353.9431333018397</v>
      </c>
      <c r="L29" s="4">
        <f>J29*L23</f>
        <v>219.55834594083885</v>
      </c>
      <c r="M29" s="4">
        <f>J29*M23</f>
        <v>43.911669188167771</v>
      </c>
      <c r="N29" s="4">
        <f>J29*N23</f>
        <v>95.141949907696841</v>
      </c>
      <c r="O29" s="4">
        <f>J29*O23</f>
        <v>14.63722306272259</v>
      </c>
      <c r="P29" s="4">
        <f>J29*P23</f>
        <v>7.3186115313612952</v>
      </c>
      <c r="Q29" s="4">
        <f>J29*Q23</f>
        <v>29.274446125445181</v>
      </c>
      <c r="R29" s="4">
        <f>SUM(K29:Q29)</f>
        <v>1763.7853790580721</v>
      </c>
      <c r="S29" s="4">
        <f>R29*S23</f>
        <v>264.56780685871081</v>
      </c>
      <c r="T29" s="5">
        <f>R29+S29</f>
        <v>2028.3531859167829</v>
      </c>
    </row>
    <row r="35" spans="1:20" ht="18.75" x14ac:dyDescent="0.3">
      <c r="A35" s="11">
        <v>3</v>
      </c>
      <c r="B35" s="1"/>
      <c r="C35" s="1"/>
      <c r="D35" s="1"/>
      <c r="E35" s="1"/>
      <c r="F35" s="1"/>
      <c r="G35" s="1">
        <v>25.4</v>
      </c>
      <c r="H35" s="12">
        <v>950</v>
      </c>
      <c r="I35" s="13">
        <v>1150</v>
      </c>
      <c r="J35" s="13">
        <v>150</v>
      </c>
      <c r="K35" s="9">
        <v>22</v>
      </c>
      <c r="L35" s="9"/>
      <c r="M35" s="10"/>
      <c r="N35" s="1"/>
      <c r="O35" s="1"/>
      <c r="P35" s="1"/>
      <c r="Q35" s="1"/>
      <c r="R35" s="1"/>
      <c r="S35" s="1"/>
      <c r="T35" s="1"/>
    </row>
    <row r="36" spans="1:20" ht="15.75" x14ac:dyDescent="0.25">
      <c r="A36" s="4" t="s">
        <v>4</v>
      </c>
      <c r="B36" s="4" t="s">
        <v>5</v>
      </c>
      <c r="C36" s="4" t="s">
        <v>6</v>
      </c>
      <c r="D36" s="4" t="s">
        <v>15</v>
      </c>
      <c r="E36" s="4" t="s">
        <v>7</v>
      </c>
      <c r="F36" s="4" t="s">
        <v>16</v>
      </c>
      <c r="G36" s="4" t="s">
        <v>17</v>
      </c>
      <c r="H36" s="4" t="s">
        <v>1</v>
      </c>
      <c r="I36" s="4" t="s">
        <v>8</v>
      </c>
      <c r="J36" s="4" t="s">
        <v>18</v>
      </c>
      <c r="K36" s="4" t="s">
        <v>9</v>
      </c>
      <c r="L36" s="4" t="s">
        <v>10</v>
      </c>
      <c r="M36" s="4" t="s">
        <v>11</v>
      </c>
      <c r="N36" s="4" t="s">
        <v>3</v>
      </c>
      <c r="O36" s="4" t="s">
        <v>20</v>
      </c>
      <c r="P36" s="4" t="s">
        <v>19</v>
      </c>
      <c r="Q36" s="4" t="s">
        <v>21</v>
      </c>
      <c r="R36" s="4" t="s">
        <v>0</v>
      </c>
      <c r="S36" s="4" t="s">
        <v>12</v>
      </c>
      <c r="T36" s="4" t="s">
        <v>13</v>
      </c>
    </row>
    <row r="37" spans="1:20" x14ac:dyDescent="0.25">
      <c r="A37" s="2">
        <v>1</v>
      </c>
      <c r="B37" s="2" t="s">
        <v>25</v>
      </c>
      <c r="C37" s="2" t="s">
        <v>14</v>
      </c>
      <c r="D37" s="2" t="s">
        <v>2</v>
      </c>
      <c r="E37" s="2">
        <f>H35+50</f>
        <v>1000</v>
      </c>
      <c r="F37" s="2">
        <v>100</v>
      </c>
      <c r="G37" s="2">
        <v>22</v>
      </c>
      <c r="H37" s="2">
        <v>7</v>
      </c>
      <c r="I37" s="2">
        <f t="shared" ref="I37:I40" si="1">E37*F37*G37*H37/304.8/304.8/304.8</f>
        <v>0.54384586751092423</v>
      </c>
      <c r="J37" s="2">
        <f>I43*10%</f>
        <v>0.13267720287263263</v>
      </c>
      <c r="K37" s="2">
        <v>925</v>
      </c>
      <c r="L37" s="2">
        <v>150</v>
      </c>
      <c r="M37" s="6">
        <v>30</v>
      </c>
      <c r="N37" s="6">
        <v>60</v>
      </c>
      <c r="O37" s="6">
        <v>10</v>
      </c>
      <c r="P37" s="6">
        <v>5</v>
      </c>
      <c r="Q37" s="6">
        <v>20</v>
      </c>
      <c r="R37" s="6"/>
      <c r="S37" s="7">
        <v>0.15</v>
      </c>
      <c r="T37" s="6"/>
    </row>
    <row r="38" spans="1:20" x14ac:dyDescent="0.25">
      <c r="A38" s="2">
        <v>2</v>
      </c>
      <c r="B38" s="2" t="s">
        <v>25</v>
      </c>
      <c r="C38" s="2" t="s">
        <v>14</v>
      </c>
      <c r="D38" s="2" t="s">
        <v>22</v>
      </c>
      <c r="E38" s="2">
        <f>I35+50</f>
        <v>1200</v>
      </c>
      <c r="F38" s="2">
        <v>100</v>
      </c>
      <c r="G38" s="2">
        <v>22</v>
      </c>
      <c r="H38" s="2">
        <v>3</v>
      </c>
      <c r="I38" s="2">
        <f t="shared" si="1"/>
        <v>0.2796921604341896</v>
      </c>
      <c r="J38" s="2"/>
      <c r="K38" s="2"/>
      <c r="L38" s="2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2">
        <v>3</v>
      </c>
      <c r="B39" s="2" t="s">
        <v>25</v>
      </c>
      <c r="C39" s="2" t="s">
        <v>14</v>
      </c>
      <c r="D39" s="2" t="s">
        <v>23</v>
      </c>
      <c r="E39" s="2">
        <f>H35+50</f>
        <v>1000</v>
      </c>
      <c r="F39" s="2">
        <v>100</v>
      </c>
      <c r="G39" s="2">
        <v>22</v>
      </c>
      <c r="H39" s="2">
        <v>3</v>
      </c>
      <c r="I39" s="2">
        <f t="shared" si="1"/>
        <v>0.23307680036182468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25">
      <c r="A40" s="2">
        <v>4</v>
      </c>
      <c r="B40" s="2" t="s">
        <v>25</v>
      </c>
      <c r="C40" s="2" t="s">
        <v>14</v>
      </c>
      <c r="D40" s="2" t="s">
        <v>24</v>
      </c>
      <c r="E40" s="2">
        <v>100</v>
      </c>
      <c r="F40" s="2">
        <v>100</v>
      </c>
      <c r="G40" s="2">
        <v>85</v>
      </c>
      <c r="H40" s="2">
        <v>9</v>
      </c>
      <c r="I40" s="2">
        <f t="shared" si="1"/>
        <v>0.27015720041938768</v>
      </c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6"/>
      <c r="N42" s="6"/>
      <c r="O42" s="6"/>
      <c r="P42" s="6"/>
      <c r="Q42" s="6"/>
      <c r="R42" s="6"/>
      <c r="S42" s="6"/>
      <c r="T42" s="6"/>
    </row>
    <row r="43" spans="1:20" ht="15.75" x14ac:dyDescent="0.25">
      <c r="A43" s="3"/>
      <c r="B43" s="3"/>
      <c r="C43" s="3"/>
      <c r="D43" s="3"/>
      <c r="E43" s="3"/>
      <c r="F43" s="3"/>
      <c r="G43" s="3"/>
      <c r="H43" s="3"/>
      <c r="I43" s="4">
        <f>SUM(I37:I42)</f>
        <v>1.3267720287263263</v>
      </c>
      <c r="J43" s="4">
        <f>J37+I43</f>
        <v>1.4594492315989589</v>
      </c>
      <c r="K43" s="4">
        <f>J43*K37</f>
        <v>1349.990539229037</v>
      </c>
      <c r="L43" s="4">
        <f>J43*L37</f>
        <v>218.91738473984384</v>
      </c>
      <c r="M43" s="4">
        <f>J43*M37</f>
        <v>43.783476947968765</v>
      </c>
      <c r="N43" s="4">
        <f>J43*N37</f>
        <v>87.56695389593753</v>
      </c>
      <c r="O43" s="4">
        <f>J43*O37</f>
        <v>14.594492315989589</v>
      </c>
      <c r="P43" s="4">
        <f>J43*P37</f>
        <v>7.2972461579947945</v>
      </c>
      <c r="Q43" s="4">
        <f>J43*Q37</f>
        <v>29.188984631979178</v>
      </c>
      <c r="R43" s="4">
        <f>SUM(K43:Q43)</f>
        <v>1751.3390779187505</v>
      </c>
      <c r="S43" s="4">
        <f>R43*S37</f>
        <v>262.70086168781256</v>
      </c>
      <c r="T43" s="5">
        <f>R43+S43</f>
        <v>2014.0399396065632</v>
      </c>
    </row>
    <row r="50" spans="1:20" ht="18.75" x14ac:dyDescent="0.3">
      <c r="A50" s="11">
        <v>4</v>
      </c>
      <c r="B50" s="1"/>
      <c r="C50" s="1"/>
      <c r="D50" s="1"/>
      <c r="E50" s="1"/>
      <c r="F50" s="1"/>
      <c r="G50" s="1">
        <v>25.4</v>
      </c>
      <c r="H50" s="12">
        <v>1000</v>
      </c>
      <c r="I50" s="13">
        <v>1050</v>
      </c>
      <c r="J50" s="13">
        <v>150</v>
      </c>
      <c r="K50" s="9">
        <v>22</v>
      </c>
      <c r="L50" s="9"/>
      <c r="M50" s="10"/>
      <c r="N50" s="1"/>
      <c r="O50" s="1"/>
      <c r="P50" s="1"/>
      <c r="Q50" s="1"/>
      <c r="R50" s="1"/>
      <c r="S50" s="1"/>
      <c r="T50" s="1"/>
    </row>
    <row r="51" spans="1:20" ht="15.75" x14ac:dyDescent="0.25">
      <c r="A51" s="4" t="s">
        <v>4</v>
      </c>
      <c r="B51" s="4" t="s">
        <v>5</v>
      </c>
      <c r="C51" s="4" t="s">
        <v>6</v>
      </c>
      <c r="D51" s="4" t="s">
        <v>15</v>
      </c>
      <c r="E51" s="4" t="s">
        <v>7</v>
      </c>
      <c r="F51" s="4" t="s">
        <v>16</v>
      </c>
      <c r="G51" s="4" t="s">
        <v>17</v>
      </c>
      <c r="H51" s="4" t="s">
        <v>1</v>
      </c>
      <c r="I51" s="4" t="s">
        <v>8</v>
      </c>
      <c r="J51" s="4" t="s">
        <v>18</v>
      </c>
      <c r="K51" s="4" t="s">
        <v>9</v>
      </c>
      <c r="L51" s="4" t="s">
        <v>10</v>
      </c>
      <c r="M51" s="4" t="s">
        <v>11</v>
      </c>
      <c r="N51" s="4" t="s">
        <v>3</v>
      </c>
      <c r="O51" s="4" t="s">
        <v>20</v>
      </c>
      <c r="P51" s="4" t="s">
        <v>19</v>
      </c>
      <c r="Q51" s="4" t="s">
        <v>21</v>
      </c>
      <c r="R51" s="4" t="s">
        <v>0</v>
      </c>
      <c r="S51" s="4" t="s">
        <v>12</v>
      </c>
      <c r="T51" s="4" t="s">
        <v>13</v>
      </c>
    </row>
    <row r="52" spans="1:20" x14ac:dyDescent="0.25">
      <c r="A52" s="2">
        <v>1</v>
      </c>
      <c r="B52" s="2" t="s">
        <v>25</v>
      </c>
      <c r="C52" s="2" t="s">
        <v>14</v>
      </c>
      <c r="D52" s="2" t="s">
        <v>2</v>
      </c>
      <c r="E52" s="2">
        <f>H50+50</f>
        <v>1050</v>
      </c>
      <c r="F52" s="2">
        <v>100</v>
      </c>
      <c r="G52" s="2">
        <v>22</v>
      </c>
      <c r="H52" s="2">
        <v>7</v>
      </c>
      <c r="I52" s="2">
        <f t="shared" ref="I52:I55" si="2">E52*F52*G52*H52/304.8/304.8/304.8</f>
        <v>0.57103816088647041</v>
      </c>
      <c r="J52" s="2">
        <f>I58*10%</f>
        <v>0.13423104820837814</v>
      </c>
      <c r="K52" s="2">
        <v>925</v>
      </c>
      <c r="L52" s="2">
        <v>150</v>
      </c>
      <c r="M52" s="6">
        <v>30</v>
      </c>
      <c r="N52" s="6">
        <v>60</v>
      </c>
      <c r="O52" s="6">
        <v>10</v>
      </c>
      <c r="P52" s="6">
        <v>5</v>
      </c>
      <c r="Q52" s="6">
        <v>20</v>
      </c>
      <c r="R52" s="6"/>
      <c r="S52" s="7">
        <v>0.15</v>
      </c>
      <c r="T52" s="6"/>
    </row>
    <row r="53" spans="1:20" x14ac:dyDescent="0.25">
      <c r="A53" s="2">
        <v>2</v>
      </c>
      <c r="B53" s="2" t="s">
        <v>25</v>
      </c>
      <c r="C53" s="2" t="s">
        <v>14</v>
      </c>
      <c r="D53" s="2" t="s">
        <v>22</v>
      </c>
      <c r="E53" s="2">
        <f>I50+50</f>
        <v>1100</v>
      </c>
      <c r="F53" s="2">
        <v>100</v>
      </c>
      <c r="G53" s="2">
        <v>22</v>
      </c>
      <c r="H53" s="2">
        <v>3</v>
      </c>
      <c r="I53" s="2">
        <f t="shared" si="2"/>
        <v>0.25638448039800715</v>
      </c>
      <c r="J53" s="2"/>
      <c r="K53" s="2"/>
      <c r="L53" s="2"/>
      <c r="M53" s="6"/>
      <c r="N53" s="6"/>
      <c r="O53" s="6"/>
      <c r="P53" s="6"/>
      <c r="Q53" s="6"/>
      <c r="R53" s="6"/>
      <c r="S53" s="6"/>
      <c r="T53" s="6"/>
    </row>
    <row r="54" spans="1:20" x14ac:dyDescent="0.25">
      <c r="A54" s="2">
        <v>3</v>
      </c>
      <c r="B54" s="2" t="s">
        <v>25</v>
      </c>
      <c r="C54" s="2" t="s">
        <v>14</v>
      </c>
      <c r="D54" s="2" t="s">
        <v>23</v>
      </c>
      <c r="E54" s="2">
        <f>H50+50</f>
        <v>1050</v>
      </c>
      <c r="F54" s="2">
        <v>100</v>
      </c>
      <c r="G54" s="2">
        <v>22</v>
      </c>
      <c r="H54" s="2">
        <v>3</v>
      </c>
      <c r="I54" s="2">
        <f t="shared" si="2"/>
        <v>0.2447306403799159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2">
        <v>4</v>
      </c>
      <c r="B55" s="2" t="s">
        <v>25</v>
      </c>
      <c r="C55" s="2" t="s">
        <v>14</v>
      </c>
      <c r="D55" s="2" t="s">
        <v>24</v>
      </c>
      <c r="E55" s="2">
        <v>100</v>
      </c>
      <c r="F55" s="2">
        <v>100</v>
      </c>
      <c r="G55" s="2">
        <v>85</v>
      </c>
      <c r="H55" s="2">
        <v>9</v>
      </c>
      <c r="I55" s="2">
        <f t="shared" si="2"/>
        <v>0.27015720041938768</v>
      </c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6"/>
      <c r="N57" s="6"/>
      <c r="O57" s="6"/>
      <c r="P57" s="6"/>
      <c r="Q57" s="6"/>
      <c r="R57" s="6"/>
      <c r="S57" s="6"/>
      <c r="T57" s="6"/>
    </row>
    <row r="58" spans="1:20" ht="15.75" x14ac:dyDescent="0.25">
      <c r="A58" s="3"/>
      <c r="B58" s="3"/>
      <c r="C58" s="3"/>
      <c r="D58" s="3"/>
      <c r="E58" s="3"/>
      <c r="F58" s="3"/>
      <c r="G58" s="3"/>
      <c r="H58" s="3"/>
      <c r="I58" s="4">
        <f>SUM(I52:I57)</f>
        <v>1.3423104820837812</v>
      </c>
      <c r="J58" s="4">
        <f>J52+I58</f>
        <v>1.4765415302921594</v>
      </c>
      <c r="K58" s="4">
        <f>J58*K52</f>
        <v>1365.8009155202474</v>
      </c>
      <c r="L58" s="4">
        <f>J58*L52</f>
        <v>221.4812295438239</v>
      </c>
      <c r="M58" s="4">
        <f>J58*M52</f>
        <v>44.296245908764782</v>
      </c>
      <c r="N58" s="4">
        <f>J58*N52</f>
        <v>88.592491817529563</v>
      </c>
      <c r="O58" s="4">
        <f>J58*O52</f>
        <v>14.765415302921594</v>
      </c>
      <c r="P58" s="4">
        <f>J58*P52</f>
        <v>7.3827076514607972</v>
      </c>
      <c r="Q58" s="4">
        <f>J58*Q52</f>
        <v>29.530830605843189</v>
      </c>
      <c r="R58" s="4">
        <f>SUM(K58:Q58)</f>
        <v>1771.8498363505914</v>
      </c>
      <c r="S58" s="4">
        <f>R58*S52</f>
        <v>265.7774754525887</v>
      </c>
      <c r="T58" s="5">
        <f>R58+S58</f>
        <v>2037.6273118031802</v>
      </c>
    </row>
    <row r="67" spans="1:20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78" spans="1:20" ht="18.75" x14ac:dyDescent="0.3">
      <c r="A78" s="11">
        <v>5</v>
      </c>
      <c r="B78" s="1"/>
      <c r="C78" s="1"/>
      <c r="D78" s="1"/>
      <c r="E78" s="1"/>
      <c r="F78" s="1"/>
      <c r="G78" s="1">
        <v>25.4</v>
      </c>
      <c r="H78" s="12">
        <v>1150</v>
      </c>
      <c r="I78" s="13">
        <v>950</v>
      </c>
      <c r="J78" s="13">
        <v>150</v>
      </c>
      <c r="K78" s="9">
        <v>22</v>
      </c>
      <c r="L78" s="9"/>
      <c r="M78" s="10"/>
      <c r="N78" s="1"/>
      <c r="O78" s="1"/>
      <c r="P78" s="1"/>
      <c r="Q78" s="1"/>
      <c r="R78" s="1"/>
      <c r="S78" s="1"/>
      <c r="T78" s="1"/>
    </row>
    <row r="79" spans="1:20" ht="15.75" x14ac:dyDescent="0.25">
      <c r="A79" s="4" t="s">
        <v>4</v>
      </c>
      <c r="B79" s="4" t="s">
        <v>5</v>
      </c>
      <c r="C79" s="4" t="s">
        <v>6</v>
      </c>
      <c r="D79" s="4" t="s">
        <v>15</v>
      </c>
      <c r="E79" s="4" t="s">
        <v>7</v>
      </c>
      <c r="F79" s="4" t="s">
        <v>16</v>
      </c>
      <c r="G79" s="4" t="s">
        <v>17</v>
      </c>
      <c r="H79" s="4" t="s">
        <v>1</v>
      </c>
      <c r="I79" s="4" t="s">
        <v>8</v>
      </c>
      <c r="J79" s="4" t="s">
        <v>18</v>
      </c>
      <c r="K79" s="4" t="s">
        <v>9</v>
      </c>
      <c r="L79" s="4" t="s">
        <v>10</v>
      </c>
      <c r="M79" s="4" t="s">
        <v>11</v>
      </c>
      <c r="N79" s="4" t="s">
        <v>3</v>
      </c>
      <c r="O79" s="4" t="s">
        <v>20</v>
      </c>
      <c r="P79" s="4" t="s">
        <v>19</v>
      </c>
      <c r="Q79" s="4" t="s">
        <v>21</v>
      </c>
      <c r="R79" s="4" t="s">
        <v>0</v>
      </c>
      <c r="S79" s="4" t="s">
        <v>12</v>
      </c>
      <c r="T79" s="4" t="s">
        <v>13</v>
      </c>
    </row>
    <row r="80" spans="1:20" x14ac:dyDescent="0.25">
      <c r="A80" s="2">
        <v>1</v>
      </c>
      <c r="B80" s="2" t="s">
        <v>25</v>
      </c>
      <c r="C80" s="2" t="s">
        <v>14</v>
      </c>
      <c r="D80" s="2" t="s">
        <v>2</v>
      </c>
      <c r="E80" s="2">
        <f>H78+50</f>
        <v>1200</v>
      </c>
      <c r="F80" s="2">
        <v>100</v>
      </c>
      <c r="G80" s="2">
        <v>22</v>
      </c>
      <c r="H80" s="2">
        <v>3</v>
      </c>
      <c r="I80" s="2">
        <f t="shared" ref="I80:I83" si="3">E80*F80*G80*H80/304.8/304.8/304.8</f>
        <v>0.2796921604341896</v>
      </c>
      <c r="J80" s="2">
        <f>I87*10%</f>
        <v>0.16410725625475747</v>
      </c>
      <c r="K80" s="2">
        <v>925</v>
      </c>
      <c r="L80" s="2">
        <v>150</v>
      </c>
      <c r="M80" s="6">
        <v>30</v>
      </c>
      <c r="N80" s="6">
        <v>55</v>
      </c>
      <c r="O80" s="6">
        <v>10</v>
      </c>
      <c r="P80" s="6">
        <v>5</v>
      </c>
      <c r="Q80" s="6">
        <v>20</v>
      </c>
      <c r="R80" s="6"/>
      <c r="S80" s="7">
        <v>0.15</v>
      </c>
      <c r="T80" s="6"/>
    </row>
    <row r="81" spans="1:20" x14ac:dyDescent="0.25">
      <c r="A81" s="2">
        <v>1</v>
      </c>
      <c r="B81" s="2" t="s">
        <v>25</v>
      </c>
      <c r="C81" s="2" t="s">
        <v>14</v>
      </c>
      <c r="D81" s="2" t="s">
        <v>2</v>
      </c>
      <c r="E81" s="2">
        <f>H78+50</f>
        <v>1200</v>
      </c>
      <c r="F81" s="2">
        <v>75</v>
      </c>
      <c r="G81" s="2">
        <v>22</v>
      </c>
      <c r="H81" s="2">
        <v>4</v>
      </c>
      <c r="I81" s="2">
        <f t="shared" ref="I81" si="4">E81*F81*G81*H81/304.8/304.8/304.8</f>
        <v>0.2796921604341896</v>
      </c>
      <c r="J81" s="2"/>
      <c r="K81" s="2"/>
      <c r="L81" s="2"/>
      <c r="M81" s="6"/>
      <c r="N81" s="6"/>
      <c r="O81" s="6"/>
      <c r="P81" s="6"/>
      <c r="Q81" s="6"/>
      <c r="R81" s="6"/>
      <c r="S81" s="7"/>
      <c r="T81" s="6"/>
    </row>
    <row r="82" spans="1:20" x14ac:dyDescent="0.25">
      <c r="A82" s="2">
        <v>2</v>
      </c>
      <c r="B82" s="2" t="s">
        <v>25</v>
      </c>
      <c r="C82" s="2" t="s">
        <v>14</v>
      </c>
      <c r="D82" s="2" t="s">
        <v>22</v>
      </c>
      <c r="E82" s="2">
        <f>I78+50</f>
        <v>1000</v>
      </c>
      <c r="F82" s="2">
        <v>100</v>
      </c>
      <c r="G82" s="2">
        <v>22</v>
      </c>
      <c r="H82" s="2">
        <v>3</v>
      </c>
      <c r="I82" s="2">
        <f t="shared" si="3"/>
        <v>0.23307680036182468</v>
      </c>
      <c r="J82" s="2"/>
      <c r="K82" s="2"/>
      <c r="L82" s="2"/>
      <c r="M82" s="6"/>
      <c r="N82" s="6"/>
      <c r="O82" s="6"/>
      <c r="P82" s="6"/>
      <c r="Q82" s="6"/>
      <c r="R82" s="6"/>
      <c r="S82" s="6"/>
      <c r="T82" s="6"/>
    </row>
    <row r="83" spans="1:20" x14ac:dyDescent="0.25">
      <c r="A83" s="2">
        <v>3</v>
      </c>
      <c r="B83" s="2" t="s">
        <v>25</v>
      </c>
      <c r="C83" s="2" t="s">
        <v>14</v>
      </c>
      <c r="D83" s="2" t="s">
        <v>23</v>
      </c>
      <c r="E83" s="2">
        <f>H78+50</f>
        <v>1200</v>
      </c>
      <c r="F83" s="2">
        <v>75</v>
      </c>
      <c r="G83" s="2">
        <v>22</v>
      </c>
      <c r="H83" s="2">
        <v>6</v>
      </c>
      <c r="I83" s="2">
        <f t="shared" si="3"/>
        <v>0.41953824065128437</v>
      </c>
      <c r="J83" s="2"/>
      <c r="K83" s="2"/>
      <c r="L83" s="2"/>
      <c r="M83" s="6"/>
      <c r="N83" s="6"/>
      <c r="O83" s="6"/>
      <c r="P83" s="6"/>
      <c r="Q83" s="6"/>
      <c r="R83" s="6"/>
      <c r="S83" s="6"/>
      <c r="T83" s="6"/>
    </row>
    <row r="84" spans="1:20" x14ac:dyDescent="0.25">
      <c r="A84" s="2">
        <v>4</v>
      </c>
      <c r="B84" s="2" t="s">
        <v>25</v>
      </c>
      <c r="C84" s="2" t="s">
        <v>14</v>
      </c>
      <c r="D84" s="2" t="s">
        <v>24</v>
      </c>
      <c r="E84" s="2">
        <v>150</v>
      </c>
      <c r="F84" s="2">
        <v>100</v>
      </c>
      <c r="G84" s="2">
        <v>90</v>
      </c>
      <c r="H84" s="2">
        <v>9</v>
      </c>
      <c r="I84" s="2">
        <f t="shared" ref="I84" si="5">E84*F84*G84*H84/304.8/304.8/304.8</f>
        <v>0.42907320066608634</v>
      </c>
      <c r="J84" s="2"/>
      <c r="K84" s="2"/>
      <c r="L84" s="2"/>
      <c r="M84" s="6"/>
      <c r="N84" s="6"/>
      <c r="O84" s="6"/>
      <c r="P84" s="6"/>
      <c r="Q84" s="6"/>
      <c r="R84" s="6"/>
      <c r="S84" s="6"/>
      <c r="T84" s="6"/>
    </row>
    <row r="85" spans="1:2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6"/>
      <c r="N85" s="6"/>
      <c r="O85" s="6"/>
      <c r="P85" s="6"/>
      <c r="Q85" s="6"/>
      <c r="R85" s="6"/>
      <c r="S85" s="6"/>
      <c r="T85" s="6"/>
    </row>
    <row r="86" spans="1:2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6"/>
      <c r="N86" s="6"/>
      <c r="O86" s="6"/>
      <c r="P86" s="6"/>
      <c r="Q86" s="6"/>
      <c r="R86" s="6"/>
      <c r="S86" s="6"/>
      <c r="T86" s="6"/>
    </row>
    <row r="87" spans="1:20" ht="15.75" x14ac:dyDescent="0.25">
      <c r="A87" s="3"/>
      <c r="B87" s="3"/>
      <c r="C87" s="3"/>
      <c r="D87" s="3"/>
      <c r="E87" s="3"/>
      <c r="F87" s="3"/>
      <c r="G87" s="3"/>
      <c r="H87" s="3"/>
      <c r="I87" s="4">
        <f>SUM(I80:I86)</f>
        <v>1.6410725625475746</v>
      </c>
      <c r="J87" s="4">
        <f>J80+I87</f>
        <v>1.805179818802332</v>
      </c>
      <c r="K87" s="4">
        <f>J87*K80</f>
        <v>1669.7913323921571</v>
      </c>
      <c r="L87" s="4">
        <f>J87*L80</f>
        <v>270.77697282034978</v>
      </c>
      <c r="M87" s="4">
        <f>J87*M80</f>
        <v>54.155394564069958</v>
      </c>
      <c r="N87" s="4">
        <f>J87*N80</f>
        <v>99.284890034128267</v>
      </c>
      <c r="O87" s="4">
        <f>J87*O80</f>
        <v>18.051798188023319</v>
      </c>
      <c r="P87" s="4">
        <f>J87*P80</f>
        <v>9.0258990940116597</v>
      </c>
      <c r="Q87" s="4">
        <f>J87*Q80</f>
        <v>36.103596376046639</v>
      </c>
      <c r="R87" s="4">
        <f>SUM(K87:Q87)</f>
        <v>2157.1898834687863</v>
      </c>
      <c r="S87" s="4">
        <f>R87*S80</f>
        <v>323.57848252031795</v>
      </c>
      <c r="T87" s="5">
        <f>R87+S87</f>
        <v>2480.7683659891045</v>
      </c>
    </row>
    <row r="94" spans="1:20" ht="18.75" x14ac:dyDescent="0.3">
      <c r="A94" s="11">
        <v>6</v>
      </c>
      <c r="B94" s="1"/>
      <c r="C94" s="1"/>
      <c r="D94" s="1"/>
      <c r="E94" s="1"/>
      <c r="F94" s="1"/>
      <c r="G94" s="1">
        <v>25.4</v>
      </c>
      <c r="H94" s="12">
        <v>1150</v>
      </c>
      <c r="I94" s="13">
        <v>950</v>
      </c>
      <c r="J94" s="13">
        <v>150</v>
      </c>
      <c r="K94" s="9">
        <v>22</v>
      </c>
      <c r="L94" s="9"/>
      <c r="M94" s="10"/>
      <c r="N94" s="1"/>
      <c r="O94" s="1"/>
      <c r="P94" s="1"/>
      <c r="Q94" s="1"/>
      <c r="R94" s="1"/>
      <c r="S94" s="1"/>
      <c r="T94" s="1"/>
    </row>
    <row r="95" spans="1:20" ht="15.75" x14ac:dyDescent="0.25">
      <c r="A95" s="4" t="s">
        <v>4</v>
      </c>
      <c r="B95" s="4" t="s">
        <v>5</v>
      </c>
      <c r="C95" s="4" t="s">
        <v>6</v>
      </c>
      <c r="D95" s="4" t="s">
        <v>15</v>
      </c>
      <c r="E95" s="4" t="s">
        <v>7</v>
      </c>
      <c r="F95" s="4" t="s">
        <v>16</v>
      </c>
      <c r="G95" s="4" t="s">
        <v>17</v>
      </c>
      <c r="H95" s="4" t="s">
        <v>1</v>
      </c>
      <c r="I95" s="4" t="s">
        <v>8</v>
      </c>
      <c r="J95" s="4" t="s">
        <v>18</v>
      </c>
      <c r="K95" s="4" t="s">
        <v>9</v>
      </c>
      <c r="L95" s="4" t="s">
        <v>10</v>
      </c>
      <c r="M95" s="4" t="s">
        <v>11</v>
      </c>
      <c r="N95" s="4" t="s">
        <v>3</v>
      </c>
      <c r="O95" s="4" t="s">
        <v>20</v>
      </c>
      <c r="P95" s="4" t="s">
        <v>19</v>
      </c>
      <c r="Q95" s="4" t="s">
        <v>21</v>
      </c>
      <c r="R95" s="4" t="s">
        <v>0</v>
      </c>
      <c r="S95" s="4" t="s">
        <v>12</v>
      </c>
      <c r="T95" s="4" t="s">
        <v>13</v>
      </c>
    </row>
    <row r="96" spans="1:20" x14ac:dyDescent="0.25">
      <c r="A96" s="2">
        <v>1</v>
      </c>
      <c r="B96" s="2" t="s">
        <v>25</v>
      </c>
      <c r="C96" s="2" t="s">
        <v>14</v>
      </c>
      <c r="D96" s="2" t="s">
        <v>2</v>
      </c>
      <c r="E96" s="2">
        <f>H94+50</f>
        <v>1200</v>
      </c>
      <c r="F96" s="2">
        <v>100</v>
      </c>
      <c r="G96" s="2">
        <v>22</v>
      </c>
      <c r="H96" s="2">
        <v>7</v>
      </c>
      <c r="I96" s="2">
        <f t="shared" ref="I96:I101" si="6">E96*F96*G96*H96/304.8/304.8/304.8</f>
        <v>0.65261504101310908</v>
      </c>
      <c r="J96" s="2">
        <f>I104*10%</f>
        <v>0.17021669359757499</v>
      </c>
      <c r="K96" s="2">
        <v>925</v>
      </c>
      <c r="L96" s="2">
        <v>150</v>
      </c>
      <c r="M96" s="6">
        <v>30</v>
      </c>
      <c r="N96" s="6">
        <v>55</v>
      </c>
      <c r="O96" s="6">
        <v>10</v>
      </c>
      <c r="P96" s="6">
        <v>5</v>
      </c>
      <c r="Q96" s="6">
        <v>20</v>
      </c>
      <c r="R96" s="6"/>
      <c r="S96" s="7">
        <v>0.15</v>
      </c>
      <c r="T96" s="6"/>
    </row>
    <row r="97" spans="1:20" x14ac:dyDescent="0.25">
      <c r="A97" s="2">
        <v>1</v>
      </c>
      <c r="B97" s="2" t="s">
        <v>25</v>
      </c>
      <c r="C97" s="2" t="s">
        <v>14</v>
      </c>
      <c r="D97" s="2" t="s">
        <v>2</v>
      </c>
      <c r="E97" s="2">
        <f>I94+50</f>
        <v>1000</v>
      </c>
      <c r="F97" s="2">
        <v>100</v>
      </c>
      <c r="G97" s="2">
        <v>22</v>
      </c>
      <c r="H97" s="2">
        <v>3</v>
      </c>
      <c r="I97" s="2">
        <f t="shared" si="6"/>
        <v>0.23307680036182468</v>
      </c>
      <c r="J97" s="2"/>
      <c r="K97" s="2"/>
      <c r="L97" s="2"/>
      <c r="M97" s="6"/>
      <c r="N97" s="6"/>
      <c r="O97" s="6"/>
      <c r="P97" s="6"/>
      <c r="Q97" s="6"/>
      <c r="R97" s="6"/>
      <c r="S97" s="7"/>
      <c r="T97" s="6"/>
    </row>
    <row r="98" spans="1:20" x14ac:dyDescent="0.25">
      <c r="A98" s="2">
        <v>2</v>
      </c>
      <c r="B98" s="2" t="s">
        <v>25</v>
      </c>
      <c r="C98" s="2" t="s">
        <v>14</v>
      </c>
      <c r="D98" s="2" t="s">
        <v>22</v>
      </c>
      <c r="E98" s="2">
        <f>I94+50</f>
        <v>1000</v>
      </c>
      <c r="F98" s="2">
        <v>100</v>
      </c>
      <c r="G98" s="2">
        <v>22</v>
      </c>
      <c r="H98" s="2">
        <v>2</v>
      </c>
      <c r="I98" s="2">
        <f t="shared" si="6"/>
        <v>0.15538453357454979</v>
      </c>
      <c r="J98" s="2"/>
      <c r="K98" s="2"/>
      <c r="L98" s="2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s="2">
        <v>3</v>
      </c>
      <c r="B99" s="2" t="s">
        <v>25</v>
      </c>
      <c r="C99" s="2" t="s">
        <v>14</v>
      </c>
      <c r="D99" s="2" t="s">
        <v>23</v>
      </c>
      <c r="E99" s="2">
        <f>H94+50</f>
        <v>1200</v>
      </c>
      <c r="F99" s="2">
        <v>100</v>
      </c>
      <c r="G99" s="2">
        <v>22</v>
      </c>
      <c r="H99" s="2">
        <v>3</v>
      </c>
      <c r="I99" s="2">
        <f t="shared" si="6"/>
        <v>0.2796921604341896</v>
      </c>
      <c r="J99" s="2"/>
      <c r="K99" s="2"/>
      <c r="L99" s="2"/>
      <c r="M99" s="6"/>
      <c r="N99" s="6"/>
      <c r="O99" s="6"/>
      <c r="P99" s="6"/>
      <c r="Q99" s="6"/>
      <c r="R99" s="6"/>
      <c r="S99" s="6"/>
      <c r="T99" s="6"/>
    </row>
    <row r="100" spans="1:20" x14ac:dyDescent="0.25">
      <c r="A100" s="2">
        <v>4</v>
      </c>
      <c r="B100" s="2" t="s">
        <v>25</v>
      </c>
      <c r="C100" s="2" t="s">
        <v>14</v>
      </c>
      <c r="D100" s="2" t="s">
        <v>24</v>
      </c>
      <c r="E100" s="2">
        <v>150</v>
      </c>
      <c r="F100" s="2">
        <v>100</v>
      </c>
      <c r="G100" s="2">
        <v>90</v>
      </c>
      <c r="H100" s="2">
        <v>6</v>
      </c>
      <c r="I100" s="2">
        <f t="shared" ref="I100" si="7">E100*F100*G100*H100/304.8/304.8/304.8</f>
        <v>0.28604880044405756</v>
      </c>
      <c r="J100" s="2"/>
      <c r="K100" s="2"/>
      <c r="L100" s="2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s="2">
        <v>4</v>
      </c>
      <c r="B101" s="2" t="s">
        <v>25</v>
      </c>
      <c r="C101" s="2" t="s">
        <v>14</v>
      </c>
      <c r="D101" s="2" t="s">
        <v>24</v>
      </c>
      <c r="E101" s="2">
        <v>100</v>
      </c>
      <c r="F101" s="2">
        <v>100</v>
      </c>
      <c r="G101" s="2">
        <v>90</v>
      </c>
      <c r="H101" s="2">
        <v>3</v>
      </c>
      <c r="I101" s="2">
        <f t="shared" si="6"/>
        <v>9.5349600148019187E-2</v>
      </c>
      <c r="J101" s="2"/>
      <c r="K101" s="2"/>
      <c r="L101" s="2"/>
      <c r="M101" s="6"/>
      <c r="N101" s="6"/>
      <c r="O101" s="6"/>
      <c r="P101" s="6"/>
      <c r="Q101" s="6"/>
      <c r="R101" s="6"/>
      <c r="S101" s="6"/>
      <c r="T101" s="6"/>
    </row>
    <row r="102" spans="1:2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6"/>
      <c r="N102" s="6"/>
      <c r="O102" s="6"/>
      <c r="P102" s="6"/>
      <c r="Q102" s="6"/>
      <c r="R102" s="6"/>
      <c r="S102" s="6"/>
      <c r="T102" s="6"/>
    </row>
    <row r="103" spans="1:2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6"/>
      <c r="N103" s="6"/>
      <c r="O103" s="6"/>
      <c r="P103" s="6"/>
      <c r="Q103" s="6"/>
      <c r="R103" s="6"/>
      <c r="S103" s="6"/>
      <c r="T103" s="6"/>
    </row>
    <row r="104" spans="1:20" ht="15.75" x14ac:dyDescent="0.25">
      <c r="A104" s="3"/>
      <c r="B104" s="3"/>
      <c r="C104" s="3"/>
      <c r="D104" s="3"/>
      <c r="E104" s="3"/>
      <c r="F104" s="3"/>
      <c r="G104" s="3"/>
      <c r="H104" s="3"/>
      <c r="I104" s="4">
        <f>SUM(I96:I103)</f>
        <v>1.7021669359757499</v>
      </c>
      <c r="J104" s="4">
        <f>J96+I104</f>
        <v>1.8723836295733249</v>
      </c>
      <c r="K104" s="4">
        <f>J104*K96</f>
        <v>1731.9548573553257</v>
      </c>
      <c r="L104" s="4">
        <f>J104*L96</f>
        <v>280.85754443599876</v>
      </c>
      <c r="M104" s="4">
        <f>J104*M96</f>
        <v>56.171508887199749</v>
      </c>
      <c r="N104" s="4">
        <f>J104*N96</f>
        <v>102.98109962653287</v>
      </c>
      <c r="O104" s="4">
        <f>J104*O96</f>
        <v>18.72383629573325</v>
      </c>
      <c r="P104" s="4">
        <f>J104*P96</f>
        <v>9.3619181478666249</v>
      </c>
      <c r="Q104" s="4">
        <f>J104*Q96</f>
        <v>37.4476725914665</v>
      </c>
      <c r="R104" s="4">
        <f>SUM(K104:Q104)</f>
        <v>2237.4984373401235</v>
      </c>
      <c r="S104" s="4">
        <f>R104*S96</f>
        <v>335.62476560101851</v>
      </c>
      <c r="T104" s="5">
        <f>R104+S104</f>
        <v>2573.1232029411422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Prabhu G</cp:lastModifiedBy>
  <dcterms:created xsi:type="dcterms:W3CDTF">2018-11-09T06:31:53Z</dcterms:created>
  <dcterms:modified xsi:type="dcterms:W3CDTF">2026-06-11T11:04:35Z</dcterms:modified>
</cp:coreProperties>
</file>