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etha\Downloads\"/>
    </mc:Choice>
  </mc:AlternateContent>
  <xr:revisionPtr revIDLastSave="0" documentId="13_ncr:1_{F2D1E8D7-8224-451D-803B-B3C29E7C06C7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Sheet1" sheetId="2" r:id="rId1"/>
    <sheet name="Sheet2" sheetId="3" r:id="rId2"/>
    <sheet name="Sheet4" sheetId="7" r:id="rId3"/>
    <sheet name="Sheet3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8" i="7" l="1"/>
  <c r="I77" i="7"/>
  <c r="E76" i="7"/>
  <c r="I76" i="7" s="1"/>
  <c r="E75" i="7"/>
  <c r="I75" i="7" s="1"/>
  <c r="E74" i="7"/>
  <c r="I74" i="7" s="1"/>
  <c r="E73" i="7"/>
  <c r="I73" i="7" s="1"/>
  <c r="I56" i="7"/>
  <c r="E55" i="7"/>
  <c r="I55" i="7" s="1"/>
  <c r="E54" i="7"/>
  <c r="I54" i="7" s="1"/>
  <c r="E53" i="7"/>
  <c r="I53" i="7" s="1"/>
  <c r="I41" i="7"/>
  <c r="E40" i="7"/>
  <c r="I40" i="7" s="1"/>
  <c r="E39" i="7"/>
  <c r="I39" i="7" s="1"/>
  <c r="E38" i="7"/>
  <c r="I38" i="7" s="1"/>
  <c r="I27" i="7"/>
  <c r="E26" i="7"/>
  <c r="I26" i="7" s="1"/>
  <c r="E25" i="7"/>
  <c r="I25" i="7" s="1"/>
  <c r="E24" i="7"/>
  <c r="I24" i="7" s="1"/>
  <c r="I12" i="7"/>
  <c r="E11" i="7"/>
  <c r="I11" i="7" s="1"/>
  <c r="E10" i="7"/>
  <c r="I10" i="7" s="1"/>
  <c r="E9" i="7"/>
  <c r="I9" i="7" s="1"/>
  <c r="I76" i="6"/>
  <c r="E75" i="6"/>
  <c r="I75" i="6" s="1"/>
  <c r="E74" i="6"/>
  <c r="I74" i="6" s="1"/>
  <c r="E73" i="6"/>
  <c r="I73" i="6" s="1"/>
  <c r="I54" i="6"/>
  <c r="E53" i="6"/>
  <c r="I53" i="6" s="1"/>
  <c r="E52" i="6"/>
  <c r="I52" i="6" s="1"/>
  <c r="E51" i="6"/>
  <c r="I51" i="6" s="1"/>
  <c r="I39" i="6"/>
  <c r="E38" i="6"/>
  <c r="I38" i="6" s="1"/>
  <c r="E37" i="6"/>
  <c r="I37" i="6" s="1"/>
  <c r="E36" i="6"/>
  <c r="I36" i="6" s="1"/>
  <c r="I25" i="6"/>
  <c r="E24" i="6"/>
  <c r="I24" i="6" s="1"/>
  <c r="E23" i="6"/>
  <c r="I23" i="6" s="1"/>
  <c r="E22" i="6"/>
  <c r="I22" i="6" s="1"/>
  <c r="I11" i="6"/>
  <c r="E10" i="6"/>
  <c r="I10" i="6" s="1"/>
  <c r="E9" i="6"/>
  <c r="I9" i="6" s="1"/>
  <c r="E8" i="6"/>
  <c r="I8" i="6" s="1"/>
  <c r="E75" i="3"/>
  <c r="E74" i="3"/>
  <c r="E73" i="3"/>
  <c r="E72" i="3"/>
  <c r="E53" i="2"/>
  <c r="E52" i="2"/>
  <c r="E51" i="2"/>
  <c r="E38" i="2"/>
  <c r="E37" i="2"/>
  <c r="E36" i="2"/>
  <c r="E24" i="2"/>
  <c r="E23" i="2"/>
  <c r="E22" i="2"/>
  <c r="E10" i="2"/>
  <c r="E9" i="2"/>
  <c r="E8" i="2"/>
  <c r="E52" i="3"/>
  <c r="E54" i="3"/>
  <c r="E53" i="3"/>
  <c r="E39" i="3"/>
  <c r="E38" i="3"/>
  <c r="E37" i="3"/>
  <c r="E25" i="3"/>
  <c r="E24" i="3"/>
  <c r="E23" i="3"/>
  <c r="E10" i="3"/>
  <c r="E9" i="3"/>
  <c r="E8" i="3"/>
  <c r="I79" i="6" l="1"/>
  <c r="J73" i="6" s="1"/>
  <c r="J79" i="6" s="1"/>
  <c r="L79" i="6" s="1"/>
  <c r="I81" i="7"/>
  <c r="J73" i="7" s="1"/>
  <c r="J81" i="7" s="1"/>
  <c r="Q81" i="7" s="1"/>
  <c r="I59" i="7"/>
  <c r="J53" i="7" s="1"/>
  <c r="J59" i="7" s="1"/>
  <c r="Q59" i="7" s="1"/>
  <c r="I30" i="7"/>
  <c r="J24" i="7" s="1"/>
  <c r="J30" i="7" s="1"/>
  <c r="K30" i="7" s="1"/>
  <c r="I15" i="7"/>
  <c r="J9" i="7" s="1"/>
  <c r="J15" i="7" s="1"/>
  <c r="P15" i="7" s="1"/>
  <c r="I44" i="7"/>
  <c r="J38" i="7" s="1"/>
  <c r="J44" i="7" s="1"/>
  <c r="I57" i="6"/>
  <c r="J51" i="6" s="1"/>
  <c r="J57" i="6" s="1"/>
  <c r="O57" i="6" s="1"/>
  <c r="I42" i="6"/>
  <c r="J36" i="6" s="1"/>
  <c r="J42" i="6" s="1"/>
  <c r="K42" i="6" s="1"/>
  <c r="I28" i="6"/>
  <c r="J22" i="6" s="1"/>
  <c r="J28" i="6" s="1"/>
  <c r="Q28" i="6" s="1"/>
  <c r="I14" i="6"/>
  <c r="J8" i="6" s="1"/>
  <c r="J14" i="6" s="1"/>
  <c r="Q14" i="6" s="1"/>
  <c r="N79" i="6"/>
  <c r="M79" i="6"/>
  <c r="I76" i="2"/>
  <c r="E75" i="2"/>
  <c r="I75" i="2" s="1"/>
  <c r="E74" i="2"/>
  <c r="I74" i="2" s="1"/>
  <c r="E73" i="2"/>
  <c r="I73" i="2" s="1"/>
  <c r="I39" i="2"/>
  <c r="I38" i="2"/>
  <c r="I37" i="2"/>
  <c r="I36" i="2"/>
  <c r="I25" i="2"/>
  <c r="I24" i="2"/>
  <c r="I23" i="2"/>
  <c r="I22" i="2"/>
  <c r="I55" i="3"/>
  <c r="I54" i="3"/>
  <c r="I53" i="3"/>
  <c r="I52" i="3"/>
  <c r="I40" i="3"/>
  <c r="I39" i="3"/>
  <c r="I38" i="3"/>
  <c r="I37" i="3"/>
  <c r="I76" i="3"/>
  <c r="I75" i="3"/>
  <c r="I74" i="3"/>
  <c r="I73" i="3"/>
  <c r="I72" i="3"/>
  <c r="I77" i="3"/>
  <c r="I26" i="3"/>
  <c r="I25" i="3"/>
  <c r="I24" i="3"/>
  <c r="I23" i="3"/>
  <c r="I11" i="3"/>
  <c r="I10" i="3"/>
  <c r="I9" i="3"/>
  <c r="I8" i="3"/>
  <c r="I54" i="2"/>
  <c r="I53" i="2"/>
  <c r="I52" i="2"/>
  <c r="I51" i="2"/>
  <c r="I11" i="2"/>
  <c r="I10" i="2"/>
  <c r="I9" i="2"/>
  <c r="I8" i="2"/>
  <c r="O79" i="6" l="1"/>
  <c r="P79" i="6"/>
  <c r="Q79" i="6"/>
  <c r="K79" i="6"/>
  <c r="L81" i="7"/>
  <c r="N81" i="7"/>
  <c r="P81" i="7"/>
  <c r="K81" i="7"/>
  <c r="M81" i="7"/>
  <c r="O81" i="7"/>
  <c r="K59" i="7"/>
  <c r="L59" i="7"/>
  <c r="M59" i="7"/>
  <c r="N59" i="7"/>
  <c r="O59" i="7"/>
  <c r="P59" i="7"/>
  <c r="L30" i="7"/>
  <c r="O30" i="7"/>
  <c r="M30" i="7"/>
  <c r="N30" i="7"/>
  <c r="P30" i="7"/>
  <c r="Q30" i="7"/>
  <c r="Q15" i="7"/>
  <c r="L15" i="7"/>
  <c r="M15" i="7"/>
  <c r="N15" i="7"/>
  <c r="O15" i="7"/>
  <c r="K15" i="7"/>
  <c r="O44" i="7"/>
  <c r="N44" i="7"/>
  <c r="M44" i="7"/>
  <c r="L44" i="7"/>
  <c r="K44" i="7"/>
  <c r="Q44" i="7"/>
  <c r="P44" i="7"/>
  <c r="P57" i="6"/>
  <c r="Q57" i="6"/>
  <c r="K57" i="6"/>
  <c r="L57" i="6"/>
  <c r="M57" i="6"/>
  <c r="N57" i="6"/>
  <c r="L42" i="6"/>
  <c r="M42" i="6"/>
  <c r="N42" i="6"/>
  <c r="O42" i="6"/>
  <c r="P42" i="6"/>
  <c r="Q42" i="6"/>
  <c r="K28" i="6"/>
  <c r="L28" i="6"/>
  <c r="M28" i="6"/>
  <c r="N28" i="6"/>
  <c r="O28" i="6"/>
  <c r="P28" i="6"/>
  <c r="K14" i="6"/>
  <c r="L14" i="6"/>
  <c r="M14" i="6"/>
  <c r="N14" i="6"/>
  <c r="O14" i="6"/>
  <c r="P14" i="6"/>
  <c r="I42" i="2"/>
  <c r="J36" i="2" s="1"/>
  <c r="J42" i="2" s="1"/>
  <c r="Q42" i="2" s="1"/>
  <c r="I79" i="2"/>
  <c r="J73" i="2" s="1"/>
  <c r="J79" i="2" s="1"/>
  <c r="O79" i="2" s="1"/>
  <c r="I28" i="2"/>
  <c r="J22" i="2" s="1"/>
  <c r="J28" i="2" s="1"/>
  <c r="N28" i="2" s="1"/>
  <c r="I58" i="3"/>
  <c r="J52" i="3" s="1"/>
  <c r="J58" i="3" s="1"/>
  <c r="P58" i="3" s="1"/>
  <c r="I43" i="3"/>
  <c r="J37" i="3" s="1"/>
  <c r="J43" i="3" s="1"/>
  <c r="P43" i="3" s="1"/>
  <c r="I80" i="3"/>
  <c r="J72" i="3" s="1"/>
  <c r="J80" i="3" s="1"/>
  <c r="Q80" i="3" s="1"/>
  <c r="I29" i="3"/>
  <c r="J23" i="3" s="1"/>
  <c r="J29" i="3" s="1"/>
  <c r="O29" i="3" s="1"/>
  <c r="I14" i="3"/>
  <c r="J8" i="3" s="1"/>
  <c r="J14" i="3" s="1"/>
  <c r="I14" i="2"/>
  <c r="J8" i="2" s="1"/>
  <c r="J14" i="2" s="1"/>
  <c r="I57" i="2"/>
  <c r="J51" i="2" s="1"/>
  <c r="J57" i="2" s="1"/>
  <c r="O57" i="2" s="1"/>
  <c r="R79" i="6" l="1"/>
  <c r="R81" i="7"/>
  <c r="S81" i="7" s="1"/>
  <c r="T81" i="7" s="1"/>
  <c r="R59" i="7"/>
  <c r="S59" i="7" s="1"/>
  <c r="T59" i="7" s="1"/>
  <c r="R30" i="7"/>
  <c r="R15" i="7"/>
  <c r="S15" i="7" s="1"/>
  <c r="S30" i="7"/>
  <c r="T30" i="7" s="1"/>
  <c r="R44" i="7"/>
  <c r="R57" i="6"/>
  <c r="S57" i="6" s="1"/>
  <c r="T57" i="6" s="1"/>
  <c r="R42" i="6"/>
  <c r="S42" i="6" s="1"/>
  <c r="T42" i="6" s="1"/>
  <c r="R28" i="6"/>
  <c r="S28" i="6" s="1"/>
  <c r="T28" i="6" s="1"/>
  <c r="R14" i="6"/>
  <c r="S14" i="6" s="1"/>
  <c r="T14" i="6" s="1"/>
  <c r="N42" i="2"/>
  <c r="K42" i="2"/>
  <c r="L42" i="2"/>
  <c r="M42" i="2"/>
  <c r="O42" i="2"/>
  <c r="P42" i="2"/>
  <c r="Q79" i="2"/>
  <c r="P79" i="2"/>
  <c r="K79" i="2"/>
  <c r="L79" i="2"/>
  <c r="M79" i="2"/>
  <c r="N79" i="2"/>
  <c r="P28" i="2"/>
  <c r="Q28" i="2"/>
  <c r="L28" i="2"/>
  <c r="K28" i="2"/>
  <c r="O28" i="2"/>
  <c r="M28" i="2"/>
  <c r="Q58" i="3"/>
  <c r="K58" i="3"/>
  <c r="L58" i="3"/>
  <c r="M58" i="3"/>
  <c r="N58" i="3"/>
  <c r="O58" i="3"/>
  <c r="L43" i="3"/>
  <c r="K43" i="3"/>
  <c r="M43" i="3"/>
  <c r="N43" i="3"/>
  <c r="O43" i="3"/>
  <c r="Q43" i="3"/>
  <c r="P29" i="3"/>
  <c r="Q29" i="3"/>
  <c r="K29" i="3"/>
  <c r="M29" i="3"/>
  <c r="L29" i="3"/>
  <c r="K80" i="3"/>
  <c r="L80" i="3"/>
  <c r="M80" i="3"/>
  <c r="N80" i="3"/>
  <c r="P80" i="3"/>
  <c r="O80" i="3"/>
  <c r="N29" i="3"/>
  <c r="K14" i="3"/>
  <c r="O14" i="3"/>
  <c r="Q14" i="3"/>
  <c r="P14" i="3"/>
  <c r="N14" i="3"/>
  <c r="M14" i="3"/>
  <c r="L14" i="3"/>
  <c r="P14" i="2"/>
  <c r="Q14" i="2"/>
  <c r="N14" i="2"/>
  <c r="O14" i="2"/>
  <c r="K14" i="2"/>
  <c r="M14" i="2"/>
  <c r="L14" i="2"/>
  <c r="Q57" i="2"/>
  <c r="K57" i="2"/>
  <c r="L57" i="2"/>
  <c r="M57" i="2"/>
  <c r="N57" i="2"/>
  <c r="P57" i="2"/>
  <c r="S79" i="6" l="1"/>
  <c r="T79" i="6" s="1"/>
  <c r="T15" i="7"/>
  <c r="S44" i="7"/>
  <c r="T44" i="7" s="1"/>
  <c r="R42" i="2"/>
  <c r="S42" i="2" s="1"/>
  <c r="T42" i="2" s="1"/>
  <c r="R79" i="2"/>
  <c r="S79" i="2" s="1"/>
  <c r="T79" i="2" s="1"/>
  <c r="R28" i="2"/>
  <c r="S28" i="2" s="1"/>
  <c r="T28" i="2" s="1"/>
  <c r="R58" i="3"/>
  <c r="S58" i="3" s="1"/>
  <c r="T58" i="3" s="1"/>
  <c r="R43" i="3"/>
  <c r="S43" i="3" s="1"/>
  <c r="T43" i="3" s="1"/>
  <c r="R29" i="3"/>
  <c r="S29" i="3" s="1"/>
  <c r="T29" i="3" s="1"/>
  <c r="R80" i="3"/>
  <c r="S80" i="3" s="1"/>
  <c r="T80" i="3" s="1"/>
  <c r="R14" i="3"/>
  <c r="R14" i="2"/>
  <c r="S14" i="2" s="1"/>
  <c r="T14" i="2" s="1"/>
  <c r="R57" i="2"/>
  <c r="S57" i="2" s="1"/>
  <c r="T57" i="2" s="1"/>
  <c r="S14" i="3" l="1"/>
  <c r="T14" i="3" s="1"/>
</calcChain>
</file>

<file path=xl/sharedStrings.xml><?xml version="1.0" encoding="utf-8"?>
<sst xmlns="http://schemas.openxmlformats.org/spreadsheetml/2006/main" count="652" uniqueCount="26">
  <si>
    <t>TOTAL</t>
  </si>
  <si>
    <t>QTY</t>
  </si>
  <si>
    <t>TOP</t>
  </si>
  <si>
    <t>TRANSPORT</t>
  </si>
  <si>
    <t>S.NO</t>
  </si>
  <si>
    <t>DATE</t>
  </si>
  <si>
    <t>NAME</t>
  </si>
  <si>
    <t>LENTH</t>
  </si>
  <si>
    <t>CFT</t>
  </si>
  <si>
    <t>CFT RATE</t>
  </si>
  <si>
    <t xml:space="preserve">LABOUR </t>
  </si>
  <si>
    <t>NAIL</t>
  </si>
  <si>
    <t>PROFIT</t>
  </si>
  <si>
    <t>FINAL TOTAL</t>
  </si>
  <si>
    <t>PINE WOOD</t>
  </si>
  <si>
    <t>SIZE</t>
  </si>
  <si>
    <t>WITH</t>
  </si>
  <si>
    <t>HIGHT</t>
  </si>
  <si>
    <t>VEST 10%</t>
  </si>
  <si>
    <t>EB</t>
  </si>
  <si>
    <t>PLAINING</t>
  </si>
  <si>
    <t>HT</t>
  </si>
  <si>
    <t>LEG</t>
  </si>
  <si>
    <t>BACK</t>
  </si>
  <si>
    <t>BLOOK</t>
  </si>
  <si>
    <t>26.05.2026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</si>
</sst>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0" fillId="2" borderId="1" xfId="0" applyFill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T79"/>
  <sheetViews>
    <sheetView topLeftCell="A55" workbookViewId="0">
      <selection activeCell="G75" sqref="G75"/>
    </sheetView>
  </sheetViews>
  <sheetFormatPr defaultRowHeight="14.5" x14ac:dyDescent="0.35"/>
  <cols>
    <col min="2" max="2" width="10.453125" customWidth="1"/>
    <col min="3" max="3" width="14.453125" customWidth="1"/>
    <col min="10" max="10" width="11" customWidth="1"/>
    <col min="11" max="11" width="11.26953125" customWidth="1"/>
    <col min="12" max="12" width="11.453125" customWidth="1"/>
    <col min="14" max="14" width="16.1796875" customWidth="1"/>
    <col min="15" max="15" width="11.1796875" customWidth="1"/>
    <col min="16" max="18" width="9.1796875" customWidth="1"/>
    <col min="19" max="19" width="9.453125" customWidth="1"/>
    <col min="20" max="20" width="14.1796875" customWidth="1"/>
  </cols>
  <sheetData>
    <row r="6" spans="1:20" ht="18.5" x14ac:dyDescent="0.45">
      <c r="A6" s="11">
        <v>1</v>
      </c>
      <c r="B6" s="1"/>
      <c r="C6" s="1"/>
      <c r="D6" s="1"/>
      <c r="E6" s="1"/>
      <c r="F6" s="1"/>
      <c r="G6" s="1">
        <v>25.4</v>
      </c>
      <c r="H6" s="8">
        <v>900</v>
      </c>
      <c r="I6" s="9">
        <v>1050</v>
      </c>
      <c r="J6" s="9">
        <v>130</v>
      </c>
      <c r="K6" s="9">
        <v>17</v>
      </c>
      <c r="L6" s="9"/>
      <c r="M6" s="10"/>
      <c r="N6" s="1"/>
      <c r="O6" s="1"/>
      <c r="P6" s="1"/>
      <c r="Q6" s="1"/>
      <c r="R6" s="1"/>
      <c r="S6" s="1"/>
      <c r="T6" s="1"/>
    </row>
    <row r="7" spans="1:20" ht="15.5" x14ac:dyDescent="0.35">
      <c r="A7" s="4" t="s">
        <v>4</v>
      </c>
      <c r="B7" s="4" t="s">
        <v>5</v>
      </c>
      <c r="C7" s="4" t="s">
        <v>6</v>
      </c>
      <c r="D7" s="4" t="s">
        <v>15</v>
      </c>
      <c r="E7" s="4" t="s">
        <v>7</v>
      </c>
      <c r="F7" s="4" t="s">
        <v>16</v>
      </c>
      <c r="G7" s="4" t="s">
        <v>17</v>
      </c>
      <c r="H7" s="4" t="s">
        <v>1</v>
      </c>
      <c r="I7" s="4" t="s">
        <v>8</v>
      </c>
      <c r="J7" s="4" t="s">
        <v>18</v>
      </c>
      <c r="K7" s="4" t="s">
        <v>9</v>
      </c>
      <c r="L7" s="4" t="s">
        <v>10</v>
      </c>
      <c r="M7" s="4" t="s">
        <v>11</v>
      </c>
      <c r="N7" s="4" t="s">
        <v>3</v>
      </c>
      <c r="O7" s="4" t="s">
        <v>20</v>
      </c>
      <c r="P7" s="4" t="s">
        <v>19</v>
      </c>
      <c r="Q7" s="4" t="s">
        <v>21</v>
      </c>
      <c r="R7" s="4" t="s">
        <v>0</v>
      </c>
      <c r="S7" s="4" t="s">
        <v>12</v>
      </c>
      <c r="T7" s="4" t="s">
        <v>13</v>
      </c>
    </row>
    <row r="8" spans="1:20" x14ac:dyDescent="0.35">
      <c r="A8" s="2">
        <v>1</v>
      </c>
      <c r="B8" s="2" t="s">
        <v>25</v>
      </c>
      <c r="C8" s="2" t="s">
        <v>14</v>
      </c>
      <c r="D8" s="2" t="s">
        <v>2</v>
      </c>
      <c r="E8" s="2">
        <f>H6+50</f>
        <v>950</v>
      </c>
      <c r="F8" s="2">
        <v>100</v>
      </c>
      <c r="G8" s="2">
        <v>17</v>
      </c>
      <c r="H8" s="2">
        <v>7</v>
      </c>
      <c r="I8" s="2">
        <f t="shared" ref="I8:I11" si="0">E8*F8*G8*H8/304.8/304.8/304.8</f>
        <v>0.39923230728642845</v>
      </c>
      <c r="J8" s="2">
        <f>I14*10%</f>
        <v>0.10163561082444417</v>
      </c>
      <c r="K8" s="2">
        <v>925</v>
      </c>
      <c r="L8" s="2">
        <v>150</v>
      </c>
      <c r="M8" s="6">
        <v>30</v>
      </c>
      <c r="N8" s="6">
        <v>65</v>
      </c>
      <c r="O8" s="6">
        <v>10</v>
      </c>
      <c r="P8" s="6">
        <v>5</v>
      </c>
      <c r="Q8" s="6">
        <v>20</v>
      </c>
      <c r="R8" s="6"/>
      <c r="S8" s="7">
        <v>0.2</v>
      </c>
      <c r="T8" s="6"/>
    </row>
    <row r="9" spans="1:20" x14ac:dyDescent="0.35">
      <c r="A9" s="2">
        <v>2</v>
      </c>
      <c r="B9" s="2" t="s">
        <v>25</v>
      </c>
      <c r="C9" s="2" t="s">
        <v>14</v>
      </c>
      <c r="D9" s="2" t="s">
        <v>22</v>
      </c>
      <c r="E9" s="2">
        <f>I6+50</f>
        <v>1100</v>
      </c>
      <c r="F9" s="2">
        <v>100</v>
      </c>
      <c r="G9" s="2">
        <v>17</v>
      </c>
      <c r="H9" s="2">
        <v>3</v>
      </c>
      <c r="I9" s="2">
        <f t="shared" si="0"/>
        <v>0.19811528030755099</v>
      </c>
      <c r="J9" s="2"/>
      <c r="K9" s="2"/>
      <c r="L9" s="2"/>
      <c r="M9" s="6"/>
      <c r="N9" s="6"/>
      <c r="O9" s="6"/>
      <c r="P9" s="6"/>
      <c r="Q9" s="6"/>
      <c r="R9" s="6"/>
      <c r="S9" s="6"/>
      <c r="T9" s="6"/>
    </row>
    <row r="10" spans="1:20" x14ac:dyDescent="0.35">
      <c r="A10" s="2">
        <v>3</v>
      </c>
      <c r="B10" s="2" t="s">
        <v>25</v>
      </c>
      <c r="C10" s="2" t="s">
        <v>14</v>
      </c>
      <c r="D10" s="2" t="s">
        <v>23</v>
      </c>
      <c r="E10" s="2">
        <f>H6+50</f>
        <v>950</v>
      </c>
      <c r="F10" s="2">
        <v>100</v>
      </c>
      <c r="G10" s="2">
        <v>17</v>
      </c>
      <c r="H10" s="2">
        <v>3</v>
      </c>
      <c r="I10" s="2">
        <f t="shared" si="0"/>
        <v>0.17109956026561221</v>
      </c>
      <c r="J10" s="2"/>
      <c r="K10" s="2"/>
      <c r="L10" s="2"/>
      <c r="M10" s="6"/>
      <c r="N10" s="6"/>
      <c r="O10" s="6"/>
      <c r="P10" s="6"/>
      <c r="Q10" s="6"/>
      <c r="R10" s="6"/>
      <c r="S10" s="6"/>
      <c r="T10" s="6"/>
    </row>
    <row r="11" spans="1:20" x14ac:dyDescent="0.35">
      <c r="A11" s="2">
        <v>4</v>
      </c>
      <c r="B11" s="2" t="s">
        <v>25</v>
      </c>
      <c r="C11" s="2" t="s">
        <v>14</v>
      </c>
      <c r="D11" s="2" t="s">
        <v>24</v>
      </c>
      <c r="E11" s="2">
        <v>100</v>
      </c>
      <c r="F11" s="2">
        <v>100</v>
      </c>
      <c r="G11" s="2">
        <v>78</v>
      </c>
      <c r="H11" s="2">
        <v>9</v>
      </c>
      <c r="I11" s="2">
        <f t="shared" si="0"/>
        <v>0.24790896038484991</v>
      </c>
      <c r="J11" s="2"/>
      <c r="K11" s="2"/>
      <c r="L11" s="2"/>
      <c r="M11" s="6"/>
      <c r="N11" s="6"/>
      <c r="O11" s="6"/>
      <c r="P11" s="6"/>
      <c r="Q11" s="6"/>
      <c r="R11" s="6"/>
      <c r="S11" s="6"/>
      <c r="T11" s="6"/>
    </row>
    <row r="12" spans="1:2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6"/>
      <c r="N12" s="6"/>
      <c r="O12" s="6"/>
      <c r="P12" s="6"/>
      <c r="Q12" s="6"/>
      <c r="R12" s="6"/>
      <c r="S12" s="6"/>
      <c r="T12" s="6"/>
    </row>
    <row r="13" spans="1:2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6"/>
      <c r="N13" s="6"/>
      <c r="O13" s="6"/>
      <c r="P13" s="6"/>
      <c r="Q13" s="6"/>
      <c r="R13" s="6"/>
      <c r="S13" s="6"/>
      <c r="T13" s="6"/>
    </row>
    <row r="14" spans="1:20" ht="15.5" x14ac:dyDescent="0.35">
      <c r="A14" s="3"/>
      <c r="B14" s="3"/>
      <c r="C14" s="3"/>
      <c r="D14" s="3"/>
      <c r="E14" s="3"/>
      <c r="F14" s="3"/>
      <c r="G14" s="3"/>
      <c r="H14" s="3"/>
      <c r="I14" s="4">
        <f>SUM(I8:I13)</f>
        <v>1.0163561082444417</v>
      </c>
      <c r="J14" s="4">
        <f>J8+I14</f>
        <v>1.1179917190688857</v>
      </c>
      <c r="K14" s="4">
        <f>J14*K8</f>
        <v>1034.1423401387192</v>
      </c>
      <c r="L14" s="4">
        <f>J14*L8</f>
        <v>167.69875786033285</v>
      </c>
      <c r="M14" s="4">
        <f>J14*M8</f>
        <v>33.539751572066571</v>
      </c>
      <c r="N14" s="4">
        <f>J14*N8</f>
        <v>72.669461739477569</v>
      </c>
      <c r="O14" s="4">
        <f>J14*O8</f>
        <v>11.179917190688858</v>
      </c>
      <c r="P14" s="4">
        <f>J14*P8</f>
        <v>5.5899585953444291</v>
      </c>
      <c r="Q14" s="4">
        <f>J14*Q8</f>
        <v>22.359834381377716</v>
      </c>
      <c r="R14" s="4">
        <f>SUM(K14:Q14)</f>
        <v>1347.1800214780071</v>
      </c>
      <c r="S14" s="4">
        <f>R14*S8</f>
        <v>269.43600429560144</v>
      </c>
      <c r="T14" s="5">
        <f>R14+S14</f>
        <v>1616.6160257736085</v>
      </c>
    </row>
    <row r="20" spans="1:20" ht="18.5" x14ac:dyDescent="0.45">
      <c r="A20" s="11">
        <v>2</v>
      </c>
      <c r="B20" s="1"/>
      <c r="C20" s="1"/>
      <c r="D20" s="1"/>
      <c r="E20" s="1"/>
      <c r="F20" s="1"/>
      <c r="G20" s="1">
        <v>25.4</v>
      </c>
      <c r="H20" s="8">
        <v>900</v>
      </c>
      <c r="I20" s="9">
        <v>1100</v>
      </c>
      <c r="J20" s="9">
        <v>130</v>
      </c>
      <c r="K20" s="9">
        <v>17</v>
      </c>
      <c r="L20" s="9"/>
      <c r="M20" s="10"/>
      <c r="N20" s="1"/>
      <c r="O20" s="1"/>
      <c r="P20" s="1"/>
      <c r="Q20" s="1"/>
      <c r="R20" s="1"/>
      <c r="S20" s="1"/>
      <c r="T20" s="1"/>
    </row>
    <row r="21" spans="1:20" ht="15.5" x14ac:dyDescent="0.35">
      <c r="A21" s="4" t="s">
        <v>4</v>
      </c>
      <c r="B21" s="4" t="s">
        <v>5</v>
      </c>
      <c r="C21" s="4" t="s">
        <v>6</v>
      </c>
      <c r="D21" s="4" t="s">
        <v>15</v>
      </c>
      <c r="E21" s="4" t="s">
        <v>7</v>
      </c>
      <c r="F21" s="4" t="s">
        <v>16</v>
      </c>
      <c r="G21" s="4" t="s">
        <v>17</v>
      </c>
      <c r="H21" s="4" t="s">
        <v>1</v>
      </c>
      <c r="I21" s="4" t="s">
        <v>8</v>
      </c>
      <c r="J21" s="4" t="s">
        <v>18</v>
      </c>
      <c r="K21" s="4" t="s">
        <v>9</v>
      </c>
      <c r="L21" s="4" t="s">
        <v>10</v>
      </c>
      <c r="M21" s="4" t="s">
        <v>11</v>
      </c>
      <c r="N21" s="4" t="s">
        <v>3</v>
      </c>
      <c r="O21" s="4" t="s">
        <v>20</v>
      </c>
      <c r="P21" s="4" t="s">
        <v>19</v>
      </c>
      <c r="Q21" s="4" t="s">
        <v>21</v>
      </c>
      <c r="R21" s="4" t="s">
        <v>0</v>
      </c>
      <c r="S21" s="4" t="s">
        <v>12</v>
      </c>
      <c r="T21" s="4" t="s">
        <v>13</v>
      </c>
    </row>
    <row r="22" spans="1:20" x14ac:dyDescent="0.35">
      <c r="A22" s="2">
        <v>1</v>
      </c>
      <c r="B22" s="2" t="s">
        <v>25</v>
      </c>
      <c r="C22" s="2" t="s">
        <v>14</v>
      </c>
      <c r="D22" s="2" t="s">
        <v>2</v>
      </c>
      <c r="E22" s="2">
        <f>H20+50</f>
        <v>950</v>
      </c>
      <c r="F22" s="2">
        <v>100</v>
      </c>
      <c r="G22" s="2">
        <v>17</v>
      </c>
      <c r="H22" s="2">
        <v>7</v>
      </c>
      <c r="I22" s="2">
        <f t="shared" ref="I22:I25" si="1">E22*F22*G22*H22/304.8/304.8/304.8</f>
        <v>0.39923230728642845</v>
      </c>
      <c r="J22" s="2">
        <f>I28*10%</f>
        <v>0.10253613482584212</v>
      </c>
      <c r="K22" s="2">
        <v>925</v>
      </c>
      <c r="L22" s="2">
        <v>150</v>
      </c>
      <c r="M22" s="6">
        <v>30</v>
      </c>
      <c r="N22" s="6">
        <v>65</v>
      </c>
      <c r="O22" s="6">
        <v>10</v>
      </c>
      <c r="P22" s="6">
        <v>5</v>
      </c>
      <c r="Q22" s="6">
        <v>20</v>
      </c>
      <c r="R22" s="6"/>
      <c r="S22" s="7">
        <v>0.2</v>
      </c>
      <c r="T22" s="6"/>
    </row>
    <row r="23" spans="1:20" x14ac:dyDescent="0.35">
      <c r="A23" s="2">
        <v>2</v>
      </c>
      <c r="B23" s="2" t="s">
        <v>25</v>
      </c>
      <c r="C23" s="2" t="s">
        <v>14</v>
      </c>
      <c r="D23" s="2" t="s">
        <v>22</v>
      </c>
      <c r="E23" s="2">
        <f>I20+50</f>
        <v>1150</v>
      </c>
      <c r="F23" s="2">
        <v>100</v>
      </c>
      <c r="G23" s="2">
        <v>17</v>
      </c>
      <c r="H23" s="2">
        <v>3</v>
      </c>
      <c r="I23" s="2">
        <f t="shared" si="1"/>
        <v>0.20712052032153055</v>
      </c>
      <c r="J23" s="2"/>
      <c r="K23" s="2"/>
      <c r="L23" s="2"/>
      <c r="M23" s="6"/>
      <c r="N23" s="6"/>
      <c r="O23" s="6"/>
      <c r="P23" s="6"/>
      <c r="Q23" s="6"/>
      <c r="R23" s="6"/>
      <c r="S23" s="6"/>
      <c r="T23" s="6"/>
    </row>
    <row r="24" spans="1:20" x14ac:dyDescent="0.35">
      <c r="A24" s="2">
        <v>3</v>
      </c>
      <c r="B24" s="2" t="s">
        <v>25</v>
      </c>
      <c r="C24" s="2" t="s">
        <v>14</v>
      </c>
      <c r="D24" s="2" t="s">
        <v>23</v>
      </c>
      <c r="E24" s="2">
        <f>H20+50</f>
        <v>950</v>
      </c>
      <c r="F24" s="2">
        <v>100</v>
      </c>
      <c r="G24" s="2">
        <v>17</v>
      </c>
      <c r="H24" s="2">
        <v>3</v>
      </c>
      <c r="I24" s="2">
        <f t="shared" si="1"/>
        <v>0.17109956026561221</v>
      </c>
      <c r="J24" s="2"/>
      <c r="K24" s="2"/>
      <c r="L24" s="2"/>
      <c r="M24" s="6"/>
      <c r="N24" s="6"/>
      <c r="O24" s="6"/>
      <c r="P24" s="6"/>
      <c r="Q24" s="6"/>
      <c r="R24" s="6"/>
      <c r="S24" s="6"/>
      <c r="T24" s="6"/>
    </row>
    <row r="25" spans="1:20" x14ac:dyDescent="0.35">
      <c r="A25" s="2">
        <v>4</v>
      </c>
      <c r="B25" s="2" t="s">
        <v>25</v>
      </c>
      <c r="C25" s="2" t="s">
        <v>14</v>
      </c>
      <c r="D25" s="2" t="s">
        <v>24</v>
      </c>
      <c r="E25" s="2">
        <v>100</v>
      </c>
      <c r="F25" s="2">
        <v>100</v>
      </c>
      <c r="G25" s="2">
        <v>78</v>
      </c>
      <c r="H25" s="2">
        <v>9</v>
      </c>
      <c r="I25" s="2">
        <f t="shared" si="1"/>
        <v>0.24790896038484991</v>
      </c>
      <c r="J25" s="2"/>
      <c r="K25" s="2"/>
      <c r="L25" s="2"/>
      <c r="M25" s="6"/>
      <c r="N25" s="6"/>
      <c r="O25" s="6"/>
      <c r="P25" s="6"/>
      <c r="Q25" s="6"/>
      <c r="R25" s="6"/>
      <c r="S25" s="6"/>
      <c r="T25" s="6"/>
    </row>
    <row r="26" spans="1:2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"/>
      <c r="N26" s="6"/>
      <c r="O26" s="6"/>
      <c r="P26" s="6"/>
      <c r="Q26" s="6"/>
      <c r="R26" s="6"/>
      <c r="S26" s="6"/>
      <c r="T26" s="6"/>
    </row>
    <row r="27" spans="1:2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"/>
      <c r="N27" s="6"/>
      <c r="O27" s="6"/>
      <c r="P27" s="6"/>
      <c r="Q27" s="6"/>
      <c r="R27" s="6"/>
      <c r="S27" s="6"/>
      <c r="T27" s="6"/>
    </row>
    <row r="28" spans="1:20" ht="15.5" x14ac:dyDescent="0.35">
      <c r="A28" s="3"/>
      <c r="B28" s="3"/>
      <c r="C28" s="3"/>
      <c r="D28" s="3"/>
      <c r="E28" s="3"/>
      <c r="F28" s="3"/>
      <c r="G28" s="3"/>
      <c r="H28" s="3"/>
      <c r="I28" s="4">
        <f>SUM(I22:I27)</f>
        <v>1.0253613482584212</v>
      </c>
      <c r="J28" s="4">
        <f>J22+I28</f>
        <v>1.1278974830842632</v>
      </c>
      <c r="K28" s="4">
        <f>J28*K22</f>
        <v>1043.3051718529434</v>
      </c>
      <c r="L28" s="4">
        <f>J28*L22</f>
        <v>169.18462246263948</v>
      </c>
      <c r="M28" s="4">
        <f>J28*M22</f>
        <v>33.836924492527899</v>
      </c>
      <c r="N28" s="4">
        <f>J28*N22</f>
        <v>73.313336400477112</v>
      </c>
      <c r="O28" s="4">
        <f>J28*O22</f>
        <v>11.278974830842632</v>
      </c>
      <c r="P28" s="4">
        <f>J28*P22</f>
        <v>5.6394874154213159</v>
      </c>
      <c r="Q28" s="4">
        <f>J28*Q22</f>
        <v>22.557949661685264</v>
      </c>
      <c r="R28" s="4">
        <f>SUM(K28:Q28)</f>
        <v>1359.1164671165373</v>
      </c>
      <c r="S28" s="4">
        <f>R28*S22</f>
        <v>271.82329342330746</v>
      </c>
      <c r="T28" s="5">
        <f>R28+S28</f>
        <v>1630.9397605398447</v>
      </c>
    </row>
    <row r="34" spans="1:20" ht="18.5" x14ac:dyDescent="0.45">
      <c r="A34" s="11">
        <v>3</v>
      </c>
      <c r="B34" s="1"/>
      <c r="C34" s="1"/>
      <c r="D34" s="1"/>
      <c r="E34" s="1"/>
      <c r="F34" s="1"/>
      <c r="G34" s="1">
        <v>25.4</v>
      </c>
      <c r="H34" s="8">
        <v>1000</v>
      </c>
      <c r="I34" s="9">
        <v>1100</v>
      </c>
      <c r="J34" s="9">
        <v>130</v>
      </c>
      <c r="K34" s="9">
        <v>17</v>
      </c>
      <c r="L34" s="9"/>
      <c r="M34" s="10"/>
      <c r="N34" s="1"/>
      <c r="O34" s="1"/>
      <c r="P34" s="1"/>
      <c r="Q34" s="1"/>
      <c r="R34" s="1"/>
      <c r="S34" s="1"/>
      <c r="T34" s="1"/>
    </row>
    <row r="35" spans="1:20" ht="15.5" x14ac:dyDescent="0.35">
      <c r="A35" s="4" t="s">
        <v>4</v>
      </c>
      <c r="B35" s="4" t="s">
        <v>5</v>
      </c>
      <c r="C35" s="4" t="s">
        <v>6</v>
      </c>
      <c r="D35" s="4" t="s">
        <v>15</v>
      </c>
      <c r="E35" s="4" t="s">
        <v>7</v>
      </c>
      <c r="F35" s="4" t="s">
        <v>16</v>
      </c>
      <c r="G35" s="4" t="s">
        <v>17</v>
      </c>
      <c r="H35" s="4" t="s">
        <v>1</v>
      </c>
      <c r="I35" s="4" t="s">
        <v>8</v>
      </c>
      <c r="J35" s="4" t="s">
        <v>18</v>
      </c>
      <c r="K35" s="4" t="s">
        <v>9</v>
      </c>
      <c r="L35" s="4" t="s">
        <v>10</v>
      </c>
      <c r="M35" s="4" t="s">
        <v>11</v>
      </c>
      <c r="N35" s="4" t="s">
        <v>3</v>
      </c>
      <c r="O35" s="4" t="s">
        <v>20</v>
      </c>
      <c r="P35" s="4" t="s">
        <v>19</v>
      </c>
      <c r="Q35" s="4" t="s">
        <v>21</v>
      </c>
      <c r="R35" s="4" t="s">
        <v>0</v>
      </c>
      <c r="S35" s="4" t="s">
        <v>12</v>
      </c>
      <c r="T35" s="4" t="s">
        <v>13</v>
      </c>
    </row>
    <row r="36" spans="1:20" x14ac:dyDescent="0.35">
      <c r="A36" s="2">
        <v>1</v>
      </c>
      <c r="B36" s="2" t="s">
        <v>25</v>
      </c>
      <c r="C36" s="2" t="s">
        <v>14</v>
      </c>
      <c r="D36" s="2" t="s">
        <v>2</v>
      </c>
      <c r="E36" s="2">
        <f>H34+50</f>
        <v>1050</v>
      </c>
      <c r="F36" s="2">
        <v>100</v>
      </c>
      <c r="G36" s="2">
        <v>17</v>
      </c>
      <c r="H36" s="2">
        <v>7</v>
      </c>
      <c r="I36" s="2">
        <f t="shared" ref="I36:I39" si="2">E36*F36*G36*H36/304.8/304.8/304.8</f>
        <v>0.44125676068499986</v>
      </c>
      <c r="J36" s="2">
        <f>I42*10%</f>
        <v>0.10853962816849519</v>
      </c>
      <c r="K36" s="2">
        <v>925</v>
      </c>
      <c r="L36" s="2">
        <v>150</v>
      </c>
      <c r="M36" s="6">
        <v>30</v>
      </c>
      <c r="N36" s="6">
        <v>65</v>
      </c>
      <c r="O36" s="6">
        <v>10</v>
      </c>
      <c r="P36" s="6">
        <v>5</v>
      </c>
      <c r="Q36" s="6">
        <v>20</v>
      </c>
      <c r="R36" s="6"/>
      <c r="S36" s="7">
        <v>0.2</v>
      </c>
      <c r="T36" s="6"/>
    </row>
    <row r="37" spans="1:20" x14ac:dyDescent="0.35">
      <c r="A37" s="2">
        <v>2</v>
      </c>
      <c r="B37" s="2" t="s">
        <v>25</v>
      </c>
      <c r="C37" s="2" t="s">
        <v>14</v>
      </c>
      <c r="D37" s="2" t="s">
        <v>22</v>
      </c>
      <c r="E37" s="2">
        <f>I34+50</f>
        <v>1150</v>
      </c>
      <c r="F37" s="2">
        <v>100</v>
      </c>
      <c r="G37" s="2">
        <v>17</v>
      </c>
      <c r="H37" s="2">
        <v>3</v>
      </c>
      <c r="I37" s="2">
        <f t="shared" si="2"/>
        <v>0.20712052032153055</v>
      </c>
      <c r="J37" s="2"/>
      <c r="K37" s="2"/>
      <c r="L37" s="2"/>
      <c r="M37" s="6"/>
      <c r="N37" s="6"/>
      <c r="O37" s="6"/>
      <c r="P37" s="6"/>
      <c r="Q37" s="6"/>
      <c r="R37" s="6"/>
      <c r="S37" s="6"/>
      <c r="T37" s="6"/>
    </row>
    <row r="38" spans="1:20" x14ac:dyDescent="0.35">
      <c r="A38" s="2">
        <v>3</v>
      </c>
      <c r="B38" s="2" t="s">
        <v>25</v>
      </c>
      <c r="C38" s="2" t="s">
        <v>14</v>
      </c>
      <c r="D38" s="2" t="s">
        <v>23</v>
      </c>
      <c r="E38" s="2">
        <f>H34+50</f>
        <v>1050</v>
      </c>
      <c r="F38" s="2">
        <v>100</v>
      </c>
      <c r="G38" s="2">
        <v>17</v>
      </c>
      <c r="H38" s="2">
        <v>3</v>
      </c>
      <c r="I38" s="2">
        <f t="shared" si="2"/>
        <v>0.1891100402935714</v>
      </c>
      <c r="J38" s="2"/>
      <c r="K38" s="2"/>
      <c r="L38" s="2"/>
      <c r="M38" s="6"/>
      <c r="N38" s="6"/>
      <c r="O38" s="6"/>
      <c r="P38" s="6"/>
      <c r="Q38" s="6"/>
      <c r="R38" s="6"/>
      <c r="S38" s="6"/>
      <c r="T38" s="6"/>
    </row>
    <row r="39" spans="1:20" x14ac:dyDescent="0.35">
      <c r="A39" s="2">
        <v>4</v>
      </c>
      <c r="B39" s="2" t="s">
        <v>25</v>
      </c>
      <c r="C39" s="2" t="s">
        <v>14</v>
      </c>
      <c r="D39" s="2" t="s">
        <v>24</v>
      </c>
      <c r="E39" s="2">
        <v>100</v>
      </c>
      <c r="F39" s="2">
        <v>100</v>
      </c>
      <c r="G39" s="2">
        <v>78</v>
      </c>
      <c r="H39" s="2">
        <v>9</v>
      </c>
      <c r="I39" s="2">
        <f t="shared" si="2"/>
        <v>0.24790896038484991</v>
      </c>
      <c r="J39" s="2"/>
      <c r="K39" s="2"/>
      <c r="L39" s="2"/>
      <c r="M39" s="6"/>
      <c r="N39" s="6"/>
      <c r="O39" s="6"/>
      <c r="P39" s="6"/>
      <c r="Q39" s="6"/>
      <c r="R39" s="6"/>
      <c r="S39" s="6"/>
      <c r="T39" s="6"/>
    </row>
    <row r="40" spans="1:20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6"/>
      <c r="N40" s="6"/>
      <c r="O40" s="6"/>
      <c r="P40" s="6"/>
      <c r="Q40" s="6"/>
      <c r="R40" s="6"/>
      <c r="S40" s="6"/>
      <c r="T40" s="6"/>
    </row>
    <row r="41" spans="1:20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6"/>
      <c r="N41" s="6"/>
      <c r="O41" s="6"/>
      <c r="P41" s="6"/>
      <c r="Q41" s="6"/>
      <c r="R41" s="6"/>
      <c r="S41" s="6"/>
      <c r="T41" s="6"/>
    </row>
    <row r="42" spans="1:20" ht="15.5" x14ac:dyDescent="0.35">
      <c r="A42" s="3"/>
      <c r="B42" s="3"/>
      <c r="C42" s="3"/>
      <c r="D42" s="3"/>
      <c r="E42" s="3"/>
      <c r="F42" s="3"/>
      <c r="G42" s="3"/>
      <c r="H42" s="3"/>
      <c r="I42" s="4">
        <f>SUM(I36:I41)</f>
        <v>1.0853962816849518</v>
      </c>
      <c r="J42" s="4">
        <f>J36+I42</f>
        <v>1.193935909853447</v>
      </c>
      <c r="K42" s="4">
        <f>J42*K36</f>
        <v>1104.3907166144384</v>
      </c>
      <c r="L42" s="4">
        <f>J42*L36</f>
        <v>179.09038647801705</v>
      </c>
      <c r="M42" s="4">
        <f>J42*M36</f>
        <v>35.818077295603409</v>
      </c>
      <c r="N42" s="4">
        <f>J42*N36</f>
        <v>77.605834140474059</v>
      </c>
      <c r="O42" s="4">
        <f>J42*O36</f>
        <v>11.939359098534471</v>
      </c>
      <c r="P42" s="4">
        <f>J42*P36</f>
        <v>5.9696795492672354</v>
      </c>
      <c r="Q42" s="4">
        <f>J42*Q36</f>
        <v>23.878718197068942</v>
      </c>
      <c r="R42" s="4">
        <f>SUM(K42:Q42)</f>
        <v>1438.6927713734037</v>
      </c>
      <c r="S42" s="4">
        <f>R42*S36</f>
        <v>287.73855427468078</v>
      </c>
      <c r="T42" s="5">
        <f>R42+S42</f>
        <v>1726.4313256480846</v>
      </c>
    </row>
    <row r="49" spans="1:20" ht="18.5" x14ac:dyDescent="0.45">
      <c r="A49" s="11">
        <v>4</v>
      </c>
      <c r="B49" s="1"/>
      <c r="C49" s="1"/>
      <c r="D49" s="1"/>
      <c r="E49" s="1"/>
      <c r="F49" s="1"/>
      <c r="G49" s="1">
        <v>25.4</v>
      </c>
      <c r="H49" s="8">
        <v>1100</v>
      </c>
      <c r="I49" s="9">
        <v>900</v>
      </c>
      <c r="J49" s="9">
        <v>130</v>
      </c>
      <c r="K49" s="9">
        <v>17</v>
      </c>
      <c r="L49" s="9"/>
      <c r="M49" s="10"/>
      <c r="N49" s="1"/>
      <c r="O49" s="1"/>
      <c r="P49" s="1"/>
      <c r="Q49" s="1"/>
      <c r="R49" s="1"/>
      <c r="S49" s="1"/>
      <c r="T49" s="1"/>
    </row>
    <row r="50" spans="1:20" ht="15.5" x14ac:dyDescent="0.35">
      <c r="A50" s="4" t="s">
        <v>4</v>
      </c>
      <c r="B50" s="4" t="s">
        <v>5</v>
      </c>
      <c r="C50" s="4" t="s">
        <v>6</v>
      </c>
      <c r="D50" s="4" t="s">
        <v>15</v>
      </c>
      <c r="E50" s="4" t="s">
        <v>7</v>
      </c>
      <c r="F50" s="4" t="s">
        <v>16</v>
      </c>
      <c r="G50" s="4" t="s">
        <v>17</v>
      </c>
      <c r="H50" s="4" t="s">
        <v>1</v>
      </c>
      <c r="I50" s="4" t="s">
        <v>8</v>
      </c>
      <c r="J50" s="4" t="s">
        <v>18</v>
      </c>
      <c r="K50" s="4" t="s">
        <v>9</v>
      </c>
      <c r="L50" s="4" t="s">
        <v>10</v>
      </c>
      <c r="M50" s="4" t="s">
        <v>11</v>
      </c>
      <c r="N50" s="4" t="s">
        <v>3</v>
      </c>
      <c r="O50" s="4" t="s">
        <v>20</v>
      </c>
      <c r="P50" s="4" t="s">
        <v>19</v>
      </c>
      <c r="Q50" s="4" t="s">
        <v>21</v>
      </c>
      <c r="R50" s="4" t="s">
        <v>0</v>
      </c>
      <c r="S50" s="4" t="s">
        <v>12</v>
      </c>
      <c r="T50" s="4" t="s">
        <v>13</v>
      </c>
    </row>
    <row r="51" spans="1:20" x14ac:dyDescent="0.35">
      <c r="A51" s="2">
        <v>1</v>
      </c>
      <c r="B51" s="2" t="s">
        <v>25</v>
      </c>
      <c r="C51" s="2" t="s">
        <v>14</v>
      </c>
      <c r="D51" s="2" t="s">
        <v>2</v>
      </c>
      <c r="E51" s="2">
        <f>H49+50</f>
        <v>1150</v>
      </c>
      <c r="F51" s="2">
        <v>100</v>
      </c>
      <c r="G51" s="2">
        <v>17</v>
      </c>
      <c r="H51" s="2">
        <v>7</v>
      </c>
      <c r="I51" s="2">
        <f t="shared" ref="I51:I54" si="3">E51*F51*G51*H51/304.8/304.8/304.8</f>
        <v>0.48328121408357128</v>
      </c>
      <c r="J51" s="2">
        <f>I57*10%</f>
        <v>0.1109410255055564</v>
      </c>
      <c r="K51" s="2">
        <v>925</v>
      </c>
      <c r="L51" s="2">
        <v>150</v>
      </c>
      <c r="M51" s="6">
        <v>30</v>
      </c>
      <c r="N51" s="6">
        <v>65</v>
      </c>
      <c r="O51" s="6">
        <v>10</v>
      </c>
      <c r="P51" s="6">
        <v>5</v>
      </c>
      <c r="Q51" s="6">
        <v>20</v>
      </c>
      <c r="R51" s="6"/>
      <c r="S51" s="7">
        <v>0.2</v>
      </c>
      <c r="T51" s="6"/>
    </row>
    <row r="52" spans="1:20" x14ac:dyDescent="0.35">
      <c r="A52" s="2">
        <v>2</v>
      </c>
      <c r="B52" s="2" t="s">
        <v>25</v>
      </c>
      <c r="C52" s="2" t="s">
        <v>14</v>
      </c>
      <c r="D52" s="2" t="s">
        <v>22</v>
      </c>
      <c r="E52" s="2">
        <f>I49+50</f>
        <v>950</v>
      </c>
      <c r="F52" s="2">
        <v>100</v>
      </c>
      <c r="G52" s="2">
        <v>17</v>
      </c>
      <c r="H52" s="2">
        <v>3</v>
      </c>
      <c r="I52" s="2">
        <f t="shared" si="3"/>
        <v>0.17109956026561221</v>
      </c>
      <c r="J52" s="2"/>
      <c r="K52" s="2"/>
      <c r="L52" s="2"/>
      <c r="M52" s="6"/>
      <c r="N52" s="6"/>
      <c r="O52" s="6"/>
      <c r="P52" s="6"/>
      <c r="Q52" s="6"/>
      <c r="R52" s="6"/>
      <c r="S52" s="6"/>
      <c r="T52" s="6"/>
    </row>
    <row r="53" spans="1:20" x14ac:dyDescent="0.35">
      <c r="A53" s="2">
        <v>3</v>
      </c>
      <c r="B53" s="2" t="s">
        <v>25</v>
      </c>
      <c r="C53" s="2" t="s">
        <v>14</v>
      </c>
      <c r="D53" s="2" t="s">
        <v>23</v>
      </c>
      <c r="E53" s="2">
        <f>H49+50</f>
        <v>1150</v>
      </c>
      <c r="F53" s="2">
        <v>100</v>
      </c>
      <c r="G53" s="2">
        <v>17</v>
      </c>
      <c r="H53" s="2">
        <v>3</v>
      </c>
      <c r="I53" s="2">
        <f t="shared" si="3"/>
        <v>0.20712052032153055</v>
      </c>
      <c r="J53" s="2"/>
      <c r="K53" s="2"/>
      <c r="L53" s="2"/>
      <c r="M53" s="6"/>
      <c r="N53" s="6"/>
      <c r="O53" s="6"/>
      <c r="P53" s="6"/>
      <c r="Q53" s="6"/>
      <c r="R53" s="6"/>
      <c r="S53" s="6"/>
      <c r="T53" s="6"/>
    </row>
    <row r="54" spans="1:20" x14ac:dyDescent="0.35">
      <c r="A54" s="2">
        <v>4</v>
      </c>
      <c r="B54" s="2" t="s">
        <v>25</v>
      </c>
      <c r="C54" s="2" t="s">
        <v>14</v>
      </c>
      <c r="D54" s="2" t="s">
        <v>24</v>
      </c>
      <c r="E54" s="2">
        <v>100</v>
      </c>
      <c r="F54" s="2">
        <v>100</v>
      </c>
      <c r="G54" s="2">
        <v>78</v>
      </c>
      <c r="H54" s="2">
        <v>9</v>
      </c>
      <c r="I54" s="2">
        <f t="shared" si="3"/>
        <v>0.24790896038484991</v>
      </c>
      <c r="J54" s="2"/>
      <c r="K54" s="2"/>
      <c r="L54" s="2"/>
      <c r="M54" s="6"/>
      <c r="N54" s="6"/>
      <c r="O54" s="6"/>
      <c r="P54" s="6"/>
      <c r="Q54" s="6"/>
      <c r="R54" s="6"/>
      <c r="S54" s="6"/>
      <c r="T54" s="6"/>
    </row>
    <row r="55" spans="1:20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6"/>
      <c r="N55" s="6"/>
      <c r="O55" s="6"/>
      <c r="P55" s="6"/>
      <c r="Q55" s="6"/>
      <c r="R55" s="6"/>
      <c r="S55" s="6"/>
      <c r="T55" s="6"/>
    </row>
    <row r="56" spans="1:20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6"/>
      <c r="N56" s="6"/>
      <c r="O56" s="6"/>
      <c r="P56" s="6"/>
      <c r="Q56" s="6"/>
      <c r="R56" s="6"/>
      <c r="S56" s="6"/>
      <c r="T56" s="6"/>
    </row>
    <row r="57" spans="1:20" ht="15.5" x14ac:dyDescent="0.35">
      <c r="A57" s="3"/>
      <c r="B57" s="3"/>
      <c r="C57" s="3"/>
      <c r="D57" s="3"/>
      <c r="E57" s="3"/>
      <c r="F57" s="3"/>
      <c r="G57" s="3"/>
      <c r="H57" s="3"/>
      <c r="I57" s="4">
        <f>SUM(I51:I56)</f>
        <v>1.109410255055564</v>
      </c>
      <c r="J57" s="4">
        <f>J51+I57</f>
        <v>1.2203512805611205</v>
      </c>
      <c r="K57" s="4">
        <f>J57*K51</f>
        <v>1128.8249345190366</v>
      </c>
      <c r="L57" s="4">
        <f>J57*L51</f>
        <v>183.05269208416809</v>
      </c>
      <c r="M57" s="4">
        <f>J57*M51</f>
        <v>36.610538416833613</v>
      </c>
      <c r="N57" s="4">
        <f>J57*N51</f>
        <v>79.322833236472832</v>
      </c>
      <c r="O57" s="4">
        <f>J57*O51</f>
        <v>12.203512805611204</v>
      </c>
      <c r="P57" s="4">
        <f>J57*P51</f>
        <v>6.1017564028056022</v>
      </c>
      <c r="Q57" s="4">
        <f>J57*Q51</f>
        <v>24.407025611222409</v>
      </c>
      <c r="R57" s="4">
        <f>SUM(K57:Q57)</f>
        <v>1470.5232930761504</v>
      </c>
      <c r="S57" s="4">
        <f>R57*S51</f>
        <v>294.10465861523011</v>
      </c>
      <c r="T57" s="5">
        <f>R57+S57</f>
        <v>1764.6279516913805</v>
      </c>
    </row>
    <row r="71" spans="1:20" ht="18.5" x14ac:dyDescent="0.45">
      <c r="A71" s="11">
        <v>5</v>
      </c>
      <c r="B71" s="1"/>
      <c r="C71" s="1"/>
      <c r="D71" s="1"/>
      <c r="E71" s="1"/>
      <c r="F71" s="1"/>
      <c r="G71" s="1">
        <v>25.4</v>
      </c>
      <c r="H71" s="8">
        <v>1140</v>
      </c>
      <c r="I71" s="9">
        <v>1080</v>
      </c>
      <c r="J71" s="9">
        <v>130</v>
      </c>
      <c r="K71" s="9">
        <v>17</v>
      </c>
      <c r="L71" s="9"/>
      <c r="M71" s="10"/>
      <c r="N71" s="1"/>
      <c r="O71" s="1"/>
      <c r="P71" s="1"/>
      <c r="Q71" s="1"/>
      <c r="R71" s="1"/>
      <c r="S71" s="1"/>
      <c r="T71" s="1"/>
    </row>
    <row r="72" spans="1:20" ht="15.5" x14ac:dyDescent="0.35">
      <c r="A72" s="4" t="s">
        <v>4</v>
      </c>
      <c r="B72" s="4" t="s">
        <v>5</v>
      </c>
      <c r="C72" s="4" t="s">
        <v>6</v>
      </c>
      <c r="D72" s="4" t="s">
        <v>15</v>
      </c>
      <c r="E72" s="4" t="s">
        <v>7</v>
      </c>
      <c r="F72" s="4" t="s">
        <v>16</v>
      </c>
      <c r="G72" s="4" t="s">
        <v>17</v>
      </c>
      <c r="H72" s="4" t="s">
        <v>1</v>
      </c>
      <c r="I72" s="4" t="s">
        <v>8</v>
      </c>
      <c r="J72" s="4" t="s">
        <v>18</v>
      </c>
      <c r="K72" s="4" t="s">
        <v>9</v>
      </c>
      <c r="L72" s="4" t="s">
        <v>10</v>
      </c>
      <c r="M72" s="4" t="s">
        <v>11</v>
      </c>
      <c r="N72" s="4" t="s">
        <v>3</v>
      </c>
      <c r="O72" s="4" t="s">
        <v>20</v>
      </c>
      <c r="P72" s="4" t="s">
        <v>19</v>
      </c>
      <c r="Q72" s="4" t="s">
        <v>21</v>
      </c>
      <c r="R72" s="4" t="s">
        <v>0</v>
      </c>
      <c r="S72" s="4" t="s">
        <v>12</v>
      </c>
      <c r="T72" s="4" t="s">
        <v>13</v>
      </c>
    </row>
    <row r="73" spans="1:20" x14ac:dyDescent="0.35">
      <c r="A73" s="2">
        <v>1</v>
      </c>
      <c r="B73" s="2" t="s">
        <v>25</v>
      </c>
      <c r="C73" s="2" t="s">
        <v>14</v>
      </c>
      <c r="D73" s="2" t="s">
        <v>2</v>
      </c>
      <c r="E73" s="2">
        <f>H71</f>
        <v>1140</v>
      </c>
      <c r="F73" s="2">
        <v>75</v>
      </c>
      <c r="G73" s="2">
        <v>17</v>
      </c>
      <c r="H73" s="2">
        <v>7</v>
      </c>
      <c r="I73" s="2">
        <f t="shared" ref="I73:I76" si="4">E73*F73*G73*H73/304.8/304.8/304.8</f>
        <v>0.3593090765577856</v>
      </c>
      <c r="J73" s="2">
        <f>I79*10%</f>
        <v>7.9863235923978398E-2</v>
      </c>
      <c r="K73" s="2">
        <v>925</v>
      </c>
      <c r="L73" s="2">
        <v>150</v>
      </c>
      <c r="M73" s="6">
        <v>30</v>
      </c>
      <c r="N73" s="6">
        <v>30</v>
      </c>
      <c r="O73" s="6">
        <v>10</v>
      </c>
      <c r="P73" s="6">
        <v>5</v>
      </c>
      <c r="Q73" s="6">
        <v>20</v>
      </c>
      <c r="R73" s="6"/>
      <c r="S73" s="7">
        <v>0.2</v>
      </c>
      <c r="T73" s="6"/>
    </row>
    <row r="74" spans="1:20" x14ac:dyDescent="0.35">
      <c r="A74" s="2">
        <v>2</v>
      </c>
      <c r="B74" s="2" t="s">
        <v>25</v>
      </c>
      <c r="C74" s="2" t="s">
        <v>14</v>
      </c>
      <c r="D74" s="2" t="s">
        <v>22</v>
      </c>
      <c r="E74" s="2">
        <f>I71</f>
        <v>1080</v>
      </c>
      <c r="F74" s="2">
        <v>75</v>
      </c>
      <c r="G74" s="2">
        <v>17</v>
      </c>
      <c r="H74" s="2">
        <v>3</v>
      </c>
      <c r="I74" s="2">
        <f t="shared" si="4"/>
        <v>0.14588488822646933</v>
      </c>
      <c r="J74" s="2"/>
      <c r="K74" s="2"/>
      <c r="L74" s="2"/>
      <c r="M74" s="6"/>
      <c r="N74" s="6"/>
      <c r="O74" s="6"/>
      <c r="P74" s="6"/>
      <c r="Q74" s="6"/>
      <c r="R74" s="6"/>
      <c r="S74" s="6"/>
      <c r="T74" s="6"/>
    </row>
    <row r="75" spans="1:20" x14ac:dyDescent="0.35">
      <c r="A75" s="2">
        <v>3</v>
      </c>
      <c r="B75" s="2" t="s">
        <v>25</v>
      </c>
      <c r="C75" s="2" t="s">
        <v>14</v>
      </c>
      <c r="D75" s="2" t="s">
        <v>23</v>
      </c>
      <c r="E75" s="2">
        <f>H71</f>
        <v>1140</v>
      </c>
      <c r="F75" s="2">
        <v>75</v>
      </c>
      <c r="G75" s="2">
        <v>17</v>
      </c>
      <c r="H75" s="2">
        <v>3</v>
      </c>
      <c r="I75" s="2">
        <f t="shared" si="4"/>
        <v>0.15398960423905098</v>
      </c>
      <c r="J75" s="2"/>
      <c r="K75" s="2"/>
      <c r="L75" s="2"/>
      <c r="M75" s="6"/>
      <c r="N75" s="6"/>
      <c r="O75" s="6"/>
      <c r="P75" s="6"/>
      <c r="Q75" s="6"/>
      <c r="R75" s="6"/>
      <c r="S75" s="6"/>
      <c r="T75" s="6"/>
    </row>
    <row r="76" spans="1:20" x14ac:dyDescent="0.35">
      <c r="A76" s="2">
        <v>4</v>
      </c>
      <c r="B76" s="2" t="s">
        <v>25</v>
      </c>
      <c r="C76" s="2" t="s">
        <v>14</v>
      </c>
      <c r="D76" s="2" t="s">
        <v>24</v>
      </c>
      <c r="E76" s="2">
        <v>75</v>
      </c>
      <c r="F76" s="2">
        <v>75</v>
      </c>
      <c r="G76" s="2">
        <v>78</v>
      </c>
      <c r="H76" s="2">
        <v>9</v>
      </c>
      <c r="I76" s="2">
        <f t="shared" si="4"/>
        <v>0.13944879021647805</v>
      </c>
      <c r="J76" s="2"/>
      <c r="K76" s="2"/>
      <c r="L76" s="2"/>
      <c r="M76" s="6"/>
      <c r="N76" s="6"/>
      <c r="O76" s="6"/>
      <c r="P76" s="6"/>
      <c r="Q76" s="6"/>
      <c r="R76" s="6"/>
      <c r="S76" s="6"/>
      <c r="T76" s="6"/>
    </row>
    <row r="77" spans="1:20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6"/>
      <c r="N77" s="6"/>
      <c r="O77" s="6"/>
      <c r="P77" s="6"/>
      <c r="Q77" s="6"/>
      <c r="R77" s="6"/>
      <c r="S77" s="6"/>
      <c r="T77" s="6"/>
    </row>
    <row r="78" spans="1:20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6"/>
      <c r="N78" s="6"/>
      <c r="O78" s="6"/>
      <c r="P78" s="6"/>
      <c r="Q78" s="6"/>
      <c r="R78" s="6"/>
      <c r="S78" s="6"/>
      <c r="T78" s="6"/>
    </row>
    <row r="79" spans="1:20" ht="15.5" x14ac:dyDescent="0.35">
      <c r="A79" s="3"/>
      <c r="B79" s="3"/>
      <c r="C79" s="3"/>
      <c r="D79" s="3"/>
      <c r="E79" s="3"/>
      <c r="F79" s="3"/>
      <c r="G79" s="3"/>
      <c r="H79" s="3"/>
      <c r="I79" s="4">
        <f>SUM(I73:I78)</f>
        <v>0.79863235923978393</v>
      </c>
      <c r="J79" s="4">
        <f>J73+I79</f>
        <v>0.8784955951637623</v>
      </c>
      <c r="K79" s="4">
        <f>J79*K73</f>
        <v>812.60842552648012</v>
      </c>
      <c r="L79" s="4">
        <f>J79*L73</f>
        <v>131.77433927456434</v>
      </c>
      <c r="M79" s="4">
        <f>J79*M73</f>
        <v>26.354867854912868</v>
      </c>
      <c r="N79" s="4">
        <f>J79*N73</f>
        <v>26.354867854912868</v>
      </c>
      <c r="O79" s="4">
        <f>J79*O73</f>
        <v>8.7849559516376239</v>
      </c>
      <c r="P79" s="4">
        <f>J79*P73</f>
        <v>4.3924779758188119</v>
      </c>
      <c r="Q79" s="4">
        <f>J79*Q73</f>
        <v>17.569911903275248</v>
      </c>
      <c r="R79" s="4">
        <f>SUM(K79:Q79)</f>
        <v>1027.8398463416017</v>
      </c>
      <c r="S79" s="4">
        <f>R79*S73</f>
        <v>205.56796926832035</v>
      </c>
      <c r="T79" s="5">
        <f>R79+S79</f>
        <v>1233.4078156099222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T80"/>
  <sheetViews>
    <sheetView topLeftCell="A34" workbookViewId="0">
      <selection activeCell="S54" sqref="S54"/>
    </sheetView>
  </sheetViews>
  <sheetFormatPr defaultRowHeight="14.5" x14ac:dyDescent="0.35"/>
  <cols>
    <col min="1" max="1" width="9.453125" customWidth="1"/>
    <col min="2" max="2" width="12" customWidth="1"/>
    <col min="3" max="3" width="11.54296875" customWidth="1"/>
    <col min="4" max="4" width="10.26953125" customWidth="1"/>
    <col min="10" max="10" width="11.1796875" customWidth="1"/>
    <col min="11" max="11" width="11" customWidth="1"/>
    <col min="13" max="13" width="9.1796875" customWidth="1"/>
    <col min="14" max="14" width="13.26953125" customWidth="1"/>
    <col min="15" max="15" width="12.26953125" customWidth="1"/>
    <col min="20" max="20" width="13.26953125" customWidth="1"/>
  </cols>
  <sheetData>
    <row r="6" spans="1:20" ht="18.5" x14ac:dyDescent="0.45">
      <c r="A6" s="11">
        <v>1</v>
      </c>
      <c r="B6" s="1"/>
      <c r="C6" s="1"/>
      <c r="D6" s="1"/>
      <c r="E6" s="1"/>
      <c r="F6" s="1"/>
      <c r="G6" s="1">
        <v>25.4</v>
      </c>
      <c r="H6" s="12">
        <v>1150</v>
      </c>
      <c r="I6" s="13">
        <v>1150</v>
      </c>
      <c r="J6" s="13">
        <v>150</v>
      </c>
      <c r="K6" s="9">
        <v>22</v>
      </c>
      <c r="L6" s="9"/>
      <c r="M6" s="10"/>
      <c r="N6" s="1"/>
      <c r="O6" s="1"/>
      <c r="P6" s="1"/>
      <c r="Q6" s="1"/>
      <c r="R6" s="1"/>
      <c r="S6" s="1"/>
      <c r="T6" s="1"/>
    </row>
    <row r="7" spans="1:20" ht="15.5" x14ac:dyDescent="0.35">
      <c r="A7" s="4" t="s">
        <v>4</v>
      </c>
      <c r="B7" s="4" t="s">
        <v>5</v>
      </c>
      <c r="C7" s="4" t="s">
        <v>6</v>
      </c>
      <c r="D7" s="4" t="s">
        <v>15</v>
      </c>
      <c r="E7" s="4" t="s">
        <v>7</v>
      </c>
      <c r="F7" s="4" t="s">
        <v>16</v>
      </c>
      <c r="G7" s="4" t="s">
        <v>17</v>
      </c>
      <c r="H7" s="4" t="s">
        <v>1</v>
      </c>
      <c r="I7" s="4" t="s">
        <v>8</v>
      </c>
      <c r="J7" s="4" t="s">
        <v>18</v>
      </c>
      <c r="K7" s="4" t="s">
        <v>9</v>
      </c>
      <c r="L7" s="4" t="s">
        <v>10</v>
      </c>
      <c r="M7" s="4" t="s">
        <v>11</v>
      </c>
      <c r="N7" s="4" t="s">
        <v>3</v>
      </c>
      <c r="O7" s="4" t="s">
        <v>20</v>
      </c>
      <c r="P7" s="4" t="s">
        <v>19</v>
      </c>
      <c r="Q7" s="4" t="s">
        <v>21</v>
      </c>
      <c r="R7" s="4" t="s">
        <v>0</v>
      </c>
      <c r="S7" s="4" t="s">
        <v>12</v>
      </c>
      <c r="T7" s="4" t="s">
        <v>13</v>
      </c>
    </row>
    <row r="8" spans="1:20" x14ac:dyDescent="0.35">
      <c r="A8" s="2">
        <v>1</v>
      </c>
      <c r="B8" s="2" t="s">
        <v>25</v>
      </c>
      <c r="C8" s="2" t="s">
        <v>14</v>
      </c>
      <c r="D8" s="2" t="s">
        <v>2</v>
      </c>
      <c r="E8" s="2">
        <f>H6+50</f>
        <v>1200</v>
      </c>
      <c r="F8" s="2">
        <v>100</v>
      </c>
      <c r="G8" s="2">
        <v>22</v>
      </c>
      <c r="H8" s="2">
        <v>7</v>
      </c>
      <c r="I8" s="2">
        <f t="shared" ref="I8:I11" si="0">E8*F8*G8*H8/304.8/304.8/304.8</f>
        <v>0.65261504101310908</v>
      </c>
      <c r="J8" s="2">
        <f>I14*10%</f>
        <v>0.14821565623008759</v>
      </c>
      <c r="K8" s="2">
        <v>925</v>
      </c>
      <c r="L8" s="2">
        <v>150</v>
      </c>
      <c r="M8" s="6">
        <v>30</v>
      </c>
      <c r="N8" s="6">
        <v>60</v>
      </c>
      <c r="O8" s="6">
        <v>10</v>
      </c>
      <c r="P8" s="6">
        <v>5</v>
      </c>
      <c r="Q8" s="6">
        <v>20</v>
      </c>
      <c r="R8" s="6"/>
      <c r="S8" s="7">
        <v>0.2</v>
      </c>
      <c r="T8" s="6"/>
    </row>
    <row r="9" spans="1:20" x14ac:dyDescent="0.35">
      <c r="A9" s="2">
        <v>2</v>
      </c>
      <c r="B9" s="2" t="s">
        <v>25</v>
      </c>
      <c r="C9" s="2" t="s">
        <v>14</v>
      </c>
      <c r="D9" s="2" t="s">
        <v>22</v>
      </c>
      <c r="E9" s="2">
        <f>I6+50</f>
        <v>1200</v>
      </c>
      <c r="F9" s="2">
        <v>100</v>
      </c>
      <c r="G9" s="2">
        <v>22</v>
      </c>
      <c r="H9" s="2">
        <v>3</v>
      </c>
      <c r="I9" s="2">
        <f t="shared" si="0"/>
        <v>0.2796921604341896</v>
      </c>
      <c r="J9" s="2"/>
      <c r="K9" s="2"/>
      <c r="L9" s="2"/>
      <c r="M9" s="6"/>
      <c r="N9" s="6"/>
      <c r="O9" s="6"/>
      <c r="P9" s="6"/>
      <c r="Q9" s="6"/>
      <c r="R9" s="6"/>
      <c r="S9" s="6"/>
      <c r="T9" s="6"/>
    </row>
    <row r="10" spans="1:20" x14ac:dyDescent="0.35">
      <c r="A10" s="2">
        <v>3</v>
      </c>
      <c r="B10" s="2" t="s">
        <v>25</v>
      </c>
      <c r="C10" s="2" t="s">
        <v>14</v>
      </c>
      <c r="D10" s="2" t="s">
        <v>23</v>
      </c>
      <c r="E10" s="2">
        <f>H6+50</f>
        <v>1200</v>
      </c>
      <c r="F10" s="2">
        <v>100</v>
      </c>
      <c r="G10" s="2">
        <v>22</v>
      </c>
      <c r="H10" s="2">
        <v>3</v>
      </c>
      <c r="I10" s="2">
        <f t="shared" si="0"/>
        <v>0.2796921604341896</v>
      </c>
      <c r="J10" s="2"/>
      <c r="K10" s="2"/>
      <c r="L10" s="2"/>
      <c r="M10" s="6"/>
      <c r="N10" s="6"/>
      <c r="O10" s="6"/>
      <c r="P10" s="6"/>
      <c r="Q10" s="6"/>
      <c r="R10" s="6"/>
      <c r="S10" s="6"/>
      <c r="T10" s="6"/>
    </row>
    <row r="11" spans="1:20" x14ac:dyDescent="0.35">
      <c r="A11" s="2">
        <v>4</v>
      </c>
      <c r="B11" s="2" t="s">
        <v>25</v>
      </c>
      <c r="C11" s="2" t="s">
        <v>14</v>
      </c>
      <c r="D11" s="2" t="s">
        <v>24</v>
      </c>
      <c r="E11" s="2">
        <v>100</v>
      </c>
      <c r="F11" s="2">
        <v>100</v>
      </c>
      <c r="G11" s="2">
        <v>85</v>
      </c>
      <c r="H11" s="2">
        <v>9</v>
      </c>
      <c r="I11" s="2">
        <f t="shared" si="0"/>
        <v>0.27015720041938768</v>
      </c>
      <c r="J11" s="2"/>
      <c r="K11" s="2"/>
      <c r="L11" s="2"/>
      <c r="M11" s="6"/>
      <c r="N11" s="6"/>
      <c r="O11" s="6"/>
      <c r="P11" s="6"/>
      <c r="Q11" s="6"/>
      <c r="R11" s="6"/>
      <c r="S11" s="6"/>
      <c r="T11" s="6"/>
    </row>
    <row r="12" spans="1:2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6"/>
      <c r="N12" s="6"/>
      <c r="O12" s="6"/>
      <c r="P12" s="6"/>
      <c r="Q12" s="6"/>
      <c r="R12" s="6"/>
      <c r="S12" s="6"/>
      <c r="T12" s="6"/>
    </row>
    <row r="13" spans="1:2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6"/>
      <c r="N13" s="6"/>
      <c r="O13" s="6"/>
      <c r="P13" s="6"/>
      <c r="Q13" s="6"/>
      <c r="R13" s="6"/>
      <c r="S13" s="6"/>
      <c r="T13" s="6"/>
    </row>
    <row r="14" spans="1:20" ht="15.5" x14ac:dyDescent="0.35">
      <c r="A14" s="3"/>
      <c r="B14" s="3"/>
      <c r="C14" s="3"/>
      <c r="D14" s="3"/>
      <c r="E14" s="3"/>
      <c r="F14" s="3"/>
      <c r="G14" s="3"/>
      <c r="H14" s="3"/>
      <c r="I14" s="4">
        <f>SUM(I8:I13)</f>
        <v>1.4821565623008759</v>
      </c>
      <c r="J14" s="4">
        <f>J8+I14</f>
        <v>1.6303722185309635</v>
      </c>
      <c r="K14" s="4">
        <f>J14*K8</f>
        <v>1508.0943021411413</v>
      </c>
      <c r="L14" s="4">
        <f>J14*L8</f>
        <v>244.55583277964453</v>
      </c>
      <c r="M14" s="4">
        <f>J14*M8</f>
        <v>48.911166555928901</v>
      </c>
      <c r="N14" s="4">
        <f>J14*N8</f>
        <v>97.822333111857802</v>
      </c>
      <c r="O14" s="4">
        <f>J14*O8</f>
        <v>16.303722185309635</v>
      </c>
      <c r="P14" s="4">
        <f>J14*P8</f>
        <v>8.1518610926548174</v>
      </c>
      <c r="Q14" s="4">
        <f>J14*Q8</f>
        <v>32.60744437061927</v>
      </c>
      <c r="R14" s="4">
        <f>SUM(K14:Q14)</f>
        <v>1956.4466622371563</v>
      </c>
      <c r="S14" s="4">
        <f>R14*S8</f>
        <v>391.28933244743126</v>
      </c>
      <c r="T14" s="5">
        <f>R14+S14</f>
        <v>2347.7359946845877</v>
      </c>
    </row>
    <row r="21" spans="1:20" ht="18.5" x14ac:dyDescent="0.45">
      <c r="A21" s="11">
        <v>2</v>
      </c>
      <c r="B21" s="1"/>
      <c r="C21" s="1"/>
      <c r="D21" s="1"/>
      <c r="E21" s="1"/>
      <c r="F21" s="1"/>
      <c r="G21" s="1">
        <v>25.4</v>
      </c>
      <c r="H21" s="12">
        <v>1000</v>
      </c>
      <c r="I21" s="13">
        <v>1000</v>
      </c>
      <c r="J21" s="13">
        <v>150</v>
      </c>
      <c r="K21" s="9">
        <v>22</v>
      </c>
      <c r="L21" s="9"/>
      <c r="M21" s="10"/>
      <c r="N21" s="1"/>
      <c r="O21" s="1"/>
      <c r="P21" s="1"/>
      <c r="Q21" s="1"/>
      <c r="R21" s="1"/>
      <c r="S21" s="1"/>
      <c r="T21" s="1"/>
    </row>
    <row r="22" spans="1:20" ht="15.5" x14ac:dyDescent="0.35">
      <c r="A22" s="4" t="s">
        <v>4</v>
      </c>
      <c r="B22" s="4" t="s">
        <v>5</v>
      </c>
      <c r="C22" s="4" t="s">
        <v>6</v>
      </c>
      <c r="D22" s="4" t="s">
        <v>15</v>
      </c>
      <c r="E22" s="4" t="s">
        <v>7</v>
      </c>
      <c r="F22" s="4" t="s">
        <v>16</v>
      </c>
      <c r="G22" s="4" t="s">
        <v>17</v>
      </c>
      <c r="H22" s="4" t="s">
        <v>1</v>
      </c>
      <c r="I22" s="4" t="s">
        <v>8</v>
      </c>
      <c r="J22" s="4" t="s">
        <v>18</v>
      </c>
      <c r="K22" s="4" t="s">
        <v>9</v>
      </c>
      <c r="L22" s="4" t="s">
        <v>10</v>
      </c>
      <c r="M22" s="4" t="s">
        <v>11</v>
      </c>
      <c r="N22" s="4" t="s">
        <v>3</v>
      </c>
      <c r="O22" s="4" t="s">
        <v>20</v>
      </c>
      <c r="P22" s="4" t="s">
        <v>19</v>
      </c>
      <c r="Q22" s="4" t="s">
        <v>21</v>
      </c>
      <c r="R22" s="4" t="s">
        <v>0</v>
      </c>
      <c r="S22" s="4" t="s">
        <v>12</v>
      </c>
      <c r="T22" s="4" t="s">
        <v>13</v>
      </c>
    </row>
    <row r="23" spans="1:20" x14ac:dyDescent="0.35">
      <c r="A23" s="2">
        <v>1</v>
      </c>
      <c r="B23" s="2" t="s">
        <v>25</v>
      </c>
      <c r="C23" s="2" t="s">
        <v>14</v>
      </c>
      <c r="D23" s="2" t="s">
        <v>2</v>
      </c>
      <c r="E23" s="2">
        <f>H21+50</f>
        <v>1050</v>
      </c>
      <c r="F23" s="2">
        <v>100</v>
      </c>
      <c r="G23" s="2">
        <v>22</v>
      </c>
      <c r="H23" s="2">
        <v>7</v>
      </c>
      <c r="I23" s="2">
        <f>E23*F23*G23*H23/304.8/304.8/304.8</f>
        <v>0.57103816088647041</v>
      </c>
      <c r="J23" s="2">
        <f>I29*10%</f>
        <v>0.13306566420656901</v>
      </c>
      <c r="K23" s="2">
        <v>925</v>
      </c>
      <c r="L23" s="2">
        <v>150</v>
      </c>
      <c r="M23" s="6">
        <v>30</v>
      </c>
      <c r="N23" s="6">
        <v>65</v>
      </c>
      <c r="O23" s="6">
        <v>10</v>
      </c>
      <c r="P23" s="6">
        <v>5</v>
      </c>
      <c r="Q23" s="6">
        <v>20</v>
      </c>
      <c r="R23" s="6"/>
      <c r="S23" s="7">
        <v>0.2</v>
      </c>
      <c r="T23" s="6"/>
    </row>
    <row r="24" spans="1:20" x14ac:dyDescent="0.35">
      <c r="A24" s="2">
        <v>2</v>
      </c>
      <c r="B24" s="2" t="s">
        <v>25</v>
      </c>
      <c r="C24" s="2" t="s">
        <v>14</v>
      </c>
      <c r="D24" s="2" t="s">
        <v>22</v>
      </c>
      <c r="E24" s="2">
        <f>I21+50</f>
        <v>1050</v>
      </c>
      <c r="F24" s="2">
        <v>100</v>
      </c>
      <c r="G24" s="2">
        <v>22</v>
      </c>
      <c r="H24" s="2">
        <v>3</v>
      </c>
      <c r="I24" s="2">
        <f>E24*F24*G24*H24/304.8/304.8/304.8</f>
        <v>0.2447306403799159</v>
      </c>
      <c r="J24" s="2"/>
      <c r="K24" s="2"/>
      <c r="L24" s="2"/>
      <c r="M24" s="6"/>
      <c r="N24" s="6"/>
      <c r="O24" s="6"/>
      <c r="P24" s="6"/>
      <c r="Q24" s="6"/>
      <c r="R24" s="6"/>
      <c r="S24" s="6"/>
      <c r="T24" s="6"/>
    </row>
    <row r="25" spans="1:20" x14ac:dyDescent="0.35">
      <c r="A25" s="2">
        <v>3</v>
      </c>
      <c r="B25" s="2" t="s">
        <v>25</v>
      </c>
      <c r="C25" s="2" t="s">
        <v>14</v>
      </c>
      <c r="D25" s="2" t="s">
        <v>23</v>
      </c>
      <c r="E25" s="2">
        <f>H21+50</f>
        <v>1050</v>
      </c>
      <c r="F25" s="2">
        <v>100</v>
      </c>
      <c r="G25" s="2">
        <v>22</v>
      </c>
      <c r="H25" s="2">
        <v>3</v>
      </c>
      <c r="I25" s="2">
        <f>E25*F25*G25*H25/304.8/304.8/304.8</f>
        <v>0.2447306403799159</v>
      </c>
      <c r="J25" s="2"/>
      <c r="K25" s="2"/>
      <c r="L25" s="2"/>
      <c r="M25" s="6"/>
      <c r="N25" s="6"/>
      <c r="O25" s="6"/>
      <c r="P25" s="6"/>
      <c r="Q25" s="6"/>
      <c r="R25" s="6"/>
      <c r="S25" s="6"/>
      <c r="T25" s="6"/>
    </row>
    <row r="26" spans="1:20" x14ac:dyDescent="0.35">
      <c r="A26" s="2">
        <v>4</v>
      </c>
      <c r="B26" s="2" t="s">
        <v>25</v>
      </c>
      <c r="C26" s="2" t="s">
        <v>14</v>
      </c>
      <c r="D26" s="2" t="s">
        <v>24</v>
      </c>
      <c r="E26" s="2">
        <v>100</v>
      </c>
      <c r="F26" s="2">
        <v>100</v>
      </c>
      <c r="G26" s="2">
        <v>85</v>
      </c>
      <c r="H26" s="2">
        <v>9</v>
      </c>
      <c r="I26" s="2">
        <f>E26*F26*G26*H26/304.8/304.8/304.8</f>
        <v>0.27015720041938768</v>
      </c>
      <c r="J26" s="2"/>
      <c r="K26" s="2"/>
      <c r="L26" s="2"/>
      <c r="M26" s="6"/>
      <c r="N26" s="6"/>
      <c r="O26" s="6"/>
      <c r="P26" s="6"/>
      <c r="Q26" s="6"/>
      <c r="R26" s="6"/>
      <c r="S26" s="6"/>
      <c r="T26" s="6"/>
    </row>
    <row r="27" spans="1:2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"/>
      <c r="N27" s="6"/>
      <c r="O27" s="6"/>
      <c r="P27" s="6"/>
      <c r="Q27" s="6"/>
      <c r="R27" s="6"/>
      <c r="S27" s="6"/>
      <c r="T27" s="6"/>
    </row>
    <row r="28" spans="1:2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"/>
      <c r="N28" s="6"/>
      <c r="O28" s="6"/>
      <c r="P28" s="6"/>
      <c r="Q28" s="6"/>
      <c r="R28" s="6"/>
      <c r="S28" s="6"/>
      <c r="T28" s="6"/>
    </row>
    <row r="29" spans="1:20" ht="15.5" x14ac:dyDescent="0.35">
      <c r="A29" s="3"/>
      <c r="B29" s="3"/>
      <c r="C29" s="3"/>
      <c r="D29" s="3"/>
      <c r="E29" s="3"/>
      <c r="F29" s="3"/>
      <c r="G29" s="3"/>
      <c r="H29" s="3"/>
      <c r="I29" s="4">
        <f>SUM(I23:I28)</f>
        <v>1.33065664206569</v>
      </c>
      <c r="J29" s="4">
        <f>J23+I29</f>
        <v>1.4637223062722591</v>
      </c>
      <c r="K29" s="4">
        <f>J29*K23</f>
        <v>1353.9431333018397</v>
      </c>
      <c r="L29" s="4">
        <f>J29*L23</f>
        <v>219.55834594083885</v>
      </c>
      <c r="M29" s="4">
        <f>J29*M23</f>
        <v>43.911669188167771</v>
      </c>
      <c r="N29" s="4">
        <f>J29*N23</f>
        <v>95.141949907696841</v>
      </c>
      <c r="O29" s="4">
        <f>J29*O23</f>
        <v>14.63722306272259</v>
      </c>
      <c r="P29" s="4">
        <f>J29*P23</f>
        <v>7.3186115313612952</v>
      </c>
      <c r="Q29" s="4">
        <f>J29*Q23</f>
        <v>29.274446125445181</v>
      </c>
      <c r="R29" s="4">
        <f>SUM(K29:Q29)</f>
        <v>1763.7853790580721</v>
      </c>
      <c r="S29" s="4">
        <f>R29*S23</f>
        <v>352.75707581161441</v>
      </c>
      <c r="T29" s="5">
        <f>R29+S29</f>
        <v>2116.5424548696865</v>
      </c>
    </row>
    <row r="35" spans="1:20" ht="18.5" x14ac:dyDescent="0.45">
      <c r="A35" s="11">
        <v>3</v>
      </c>
      <c r="B35" s="1"/>
      <c r="C35" s="1"/>
      <c r="D35" s="1"/>
      <c r="E35" s="1"/>
      <c r="F35" s="1"/>
      <c r="G35" s="1">
        <v>25.4</v>
      </c>
      <c r="H35" s="12">
        <v>950</v>
      </c>
      <c r="I35" s="13">
        <v>1150</v>
      </c>
      <c r="J35" s="13">
        <v>150</v>
      </c>
      <c r="K35" s="9">
        <v>22</v>
      </c>
      <c r="L35" s="9"/>
      <c r="M35" s="10"/>
      <c r="N35" s="1"/>
      <c r="O35" s="1"/>
      <c r="P35" s="1"/>
      <c r="Q35" s="1"/>
      <c r="R35" s="1"/>
      <c r="S35" s="1"/>
      <c r="T35" s="1"/>
    </row>
    <row r="36" spans="1:20" ht="15.5" x14ac:dyDescent="0.35">
      <c r="A36" s="4" t="s">
        <v>4</v>
      </c>
      <c r="B36" s="4" t="s">
        <v>5</v>
      </c>
      <c r="C36" s="4" t="s">
        <v>6</v>
      </c>
      <c r="D36" s="4" t="s">
        <v>15</v>
      </c>
      <c r="E36" s="4" t="s">
        <v>7</v>
      </c>
      <c r="F36" s="4" t="s">
        <v>16</v>
      </c>
      <c r="G36" s="4" t="s">
        <v>17</v>
      </c>
      <c r="H36" s="4" t="s">
        <v>1</v>
      </c>
      <c r="I36" s="4" t="s">
        <v>8</v>
      </c>
      <c r="J36" s="4" t="s">
        <v>18</v>
      </c>
      <c r="K36" s="4" t="s">
        <v>9</v>
      </c>
      <c r="L36" s="4" t="s">
        <v>10</v>
      </c>
      <c r="M36" s="4" t="s">
        <v>11</v>
      </c>
      <c r="N36" s="4" t="s">
        <v>3</v>
      </c>
      <c r="O36" s="4" t="s">
        <v>20</v>
      </c>
      <c r="P36" s="4" t="s">
        <v>19</v>
      </c>
      <c r="Q36" s="4" t="s">
        <v>21</v>
      </c>
      <c r="R36" s="4" t="s">
        <v>0</v>
      </c>
      <c r="S36" s="4" t="s">
        <v>12</v>
      </c>
      <c r="T36" s="4" t="s">
        <v>13</v>
      </c>
    </row>
    <row r="37" spans="1:20" x14ac:dyDescent="0.35">
      <c r="A37" s="2">
        <v>1</v>
      </c>
      <c r="B37" s="2" t="s">
        <v>25</v>
      </c>
      <c r="C37" s="2" t="s">
        <v>14</v>
      </c>
      <c r="D37" s="2" t="s">
        <v>2</v>
      </c>
      <c r="E37" s="2">
        <f>H35+50</f>
        <v>1000</v>
      </c>
      <c r="F37" s="2">
        <v>100</v>
      </c>
      <c r="G37" s="2">
        <v>22</v>
      </c>
      <c r="H37" s="2">
        <v>7</v>
      </c>
      <c r="I37" s="2">
        <f t="shared" ref="I37:I40" si="1">E37*F37*G37*H37/304.8/304.8/304.8</f>
        <v>0.54384586751092423</v>
      </c>
      <c r="J37" s="2">
        <f>I43*10%</f>
        <v>0.13267720287263263</v>
      </c>
      <c r="K37" s="2">
        <v>925</v>
      </c>
      <c r="L37" s="2">
        <v>150</v>
      </c>
      <c r="M37" s="6">
        <v>30</v>
      </c>
      <c r="N37" s="6">
        <v>60</v>
      </c>
      <c r="O37" s="6">
        <v>10</v>
      </c>
      <c r="P37" s="6">
        <v>5</v>
      </c>
      <c r="Q37" s="6">
        <v>20</v>
      </c>
      <c r="R37" s="6"/>
      <c r="S37" s="7">
        <v>0.2</v>
      </c>
      <c r="T37" s="6"/>
    </row>
    <row r="38" spans="1:20" x14ac:dyDescent="0.35">
      <c r="A38" s="2">
        <v>2</v>
      </c>
      <c r="B38" s="2" t="s">
        <v>25</v>
      </c>
      <c r="C38" s="2" t="s">
        <v>14</v>
      </c>
      <c r="D38" s="2" t="s">
        <v>22</v>
      </c>
      <c r="E38" s="2">
        <f>I35+50</f>
        <v>1200</v>
      </c>
      <c r="F38" s="2">
        <v>100</v>
      </c>
      <c r="G38" s="2">
        <v>22</v>
      </c>
      <c r="H38" s="2">
        <v>3</v>
      </c>
      <c r="I38" s="2">
        <f t="shared" si="1"/>
        <v>0.2796921604341896</v>
      </c>
      <c r="J38" s="2"/>
      <c r="K38" s="2"/>
      <c r="L38" s="2"/>
      <c r="M38" s="6"/>
      <c r="N38" s="6"/>
      <c r="O38" s="6"/>
      <c r="P38" s="6"/>
      <c r="Q38" s="6"/>
      <c r="R38" s="6"/>
      <c r="S38" s="6"/>
      <c r="T38" s="6"/>
    </row>
    <row r="39" spans="1:20" x14ac:dyDescent="0.35">
      <c r="A39" s="2">
        <v>3</v>
      </c>
      <c r="B39" s="2" t="s">
        <v>25</v>
      </c>
      <c r="C39" s="2" t="s">
        <v>14</v>
      </c>
      <c r="D39" s="2" t="s">
        <v>23</v>
      </c>
      <c r="E39" s="2">
        <f>H35+50</f>
        <v>1000</v>
      </c>
      <c r="F39" s="2">
        <v>100</v>
      </c>
      <c r="G39" s="2">
        <v>22</v>
      </c>
      <c r="H39" s="2">
        <v>3</v>
      </c>
      <c r="I39" s="2">
        <f t="shared" si="1"/>
        <v>0.23307680036182468</v>
      </c>
      <c r="J39" s="2"/>
      <c r="K39" s="2"/>
      <c r="L39" s="2"/>
      <c r="M39" s="6"/>
      <c r="N39" s="6"/>
      <c r="O39" s="6"/>
      <c r="P39" s="6"/>
      <c r="Q39" s="6"/>
      <c r="R39" s="6"/>
      <c r="S39" s="6"/>
      <c r="T39" s="6"/>
    </row>
    <row r="40" spans="1:20" x14ac:dyDescent="0.35">
      <c r="A40" s="2">
        <v>4</v>
      </c>
      <c r="B40" s="2" t="s">
        <v>25</v>
      </c>
      <c r="C40" s="2" t="s">
        <v>14</v>
      </c>
      <c r="D40" s="2" t="s">
        <v>24</v>
      </c>
      <c r="E40" s="2">
        <v>100</v>
      </c>
      <c r="F40" s="2">
        <v>100</v>
      </c>
      <c r="G40" s="2">
        <v>85</v>
      </c>
      <c r="H40" s="2">
        <v>9</v>
      </c>
      <c r="I40" s="2">
        <f t="shared" si="1"/>
        <v>0.27015720041938768</v>
      </c>
      <c r="J40" s="2"/>
      <c r="K40" s="2"/>
      <c r="L40" s="2"/>
      <c r="M40" s="6"/>
      <c r="N40" s="6"/>
      <c r="O40" s="6"/>
      <c r="P40" s="6"/>
      <c r="Q40" s="6"/>
      <c r="R40" s="6"/>
      <c r="S40" s="6"/>
      <c r="T40" s="6"/>
    </row>
    <row r="41" spans="1:20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6"/>
      <c r="N41" s="6"/>
      <c r="O41" s="6"/>
      <c r="P41" s="6"/>
      <c r="Q41" s="6"/>
      <c r="R41" s="6"/>
      <c r="S41" s="6"/>
      <c r="T41" s="6"/>
    </row>
    <row r="42" spans="1:20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6"/>
      <c r="N42" s="6"/>
      <c r="O42" s="6"/>
      <c r="P42" s="6"/>
      <c r="Q42" s="6"/>
      <c r="R42" s="6"/>
      <c r="S42" s="6"/>
      <c r="T42" s="6"/>
    </row>
    <row r="43" spans="1:20" ht="15.5" x14ac:dyDescent="0.35">
      <c r="A43" s="3"/>
      <c r="B43" s="3"/>
      <c r="C43" s="3"/>
      <c r="D43" s="3"/>
      <c r="E43" s="3"/>
      <c r="F43" s="3"/>
      <c r="G43" s="3"/>
      <c r="H43" s="3"/>
      <c r="I43" s="4">
        <f>SUM(I37:I42)</f>
        <v>1.3267720287263263</v>
      </c>
      <c r="J43" s="4">
        <f>J37+I43</f>
        <v>1.4594492315989589</v>
      </c>
      <c r="K43" s="4">
        <f>J43*K37</f>
        <v>1349.990539229037</v>
      </c>
      <c r="L43" s="4">
        <f>J43*L37</f>
        <v>218.91738473984384</v>
      </c>
      <c r="M43" s="4">
        <f>J43*M37</f>
        <v>43.783476947968765</v>
      </c>
      <c r="N43" s="4">
        <f>J43*N37</f>
        <v>87.56695389593753</v>
      </c>
      <c r="O43" s="4">
        <f>J43*O37</f>
        <v>14.594492315989589</v>
      </c>
      <c r="P43" s="4">
        <f>J43*P37</f>
        <v>7.2972461579947945</v>
      </c>
      <c r="Q43" s="4">
        <f>J43*Q37</f>
        <v>29.188984631979178</v>
      </c>
      <c r="R43" s="4">
        <f>SUM(K43:Q43)</f>
        <v>1751.3390779187505</v>
      </c>
      <c r="S43" s="4">
        <f>R43*S37</f>
        <v>350.26781558375012</v>
      </c>
      <c r="T43" s="5">
        <f>R43+S43</f>
        <v>2101.6068935025005</v>
      </c>
    </row>
    <row r="50" spans="1:20" ht="18.5" x14ac:dyDescent="0.45">
      <c r="A50" s="11">
        <v>4</v>
      </c>
      <c r="B50" s="1"/>
      <c r="C50" s="1"/>
      <c r="D50" s="1"/>
      <c r="E50" s="1"/>
      <c r="F50" s="1"/>
      <c r="G50" s="1">
        <v>25.4</v>
      </c>
      <c r="H50" s="12">
        <v>1000</v>
      </c>
      <c r="I50" s="13">
        <v>1050</v>
      </c>
      <c r="J50" s="13">
        <v>150</v>
      </c>
      <c r="K50" s="9">
        <v>22</v>
      </c>
      <c r="L50" s="9"/>
      <c r="M50" s="10"/>
      <c r="N50" s="1"/>
      <c r="O50" s="1"/>
      <c r="P50" s="1"/>
      <c r="Q50" s="1"/>
      <c r="R50" s="1"/>
      <c r="S50" s="1"/>
      <c r="T50" s="1"/>
    </row>
    <row r="51" spans="1:20" ht="15.5" x14ac:dyDescent="0.35">
      <c r="A51" s="4" t="s">
        <v>4</v>
      </c>
      <c r="B51" s="4" t="s">
        <v>5</v>
      </c>
      <c r="C51" s="4" t="s">
        <v>6</v>
      </c>
      <c r="D51" s="4" t="s">
        <v>15</v>
      </c>
      <c r="E51" s="4" t="s">
        <v>7</v>
      </c>
      <c r="F51" s="4" t="s">
        <v>16</v>
      </c>
      <c r="G51" s="4" t="s">
        <v>17</v>
      </c>
      <c r="H51" s="4" t="s">
        <v>1</v>
      </c>
      <c r="I51" s="4" t="s">
        <v>8</v>
      </c>
      <c r="J51" s="4" t="s">
        <v>18</v>
      </c>
      <c r="K51" s="4" t="s">
        <v>9</v>
      </c>
      <c r="L51" s="4" t="s">
        <v>10</v>
      </c>
      <c r="M51" s="4" t="s">
        <v>11</v>
      </c>
      <c r="N51" s="4" t="s">
        <v>3</v>
      </c>
      <c r="O51" s="4" t="s">
        <v>20</v>
      </c>
      <c r="P51" s="4" t="s">
        <v>19</v>
      </c>
      <c r="Q51" s="4" t="s">
        <v>21</v>
      </c>
      <c r="R51" s="4" t="s">
        <v>0</v>
      </c>
      <c r="S51" s="4" t="s">
        <v>12</v>
      </c>
      <c r="T51" s="4" t="s">
        <v>13</v>
      </c>
    </row>
    <row r="52" spans="1:20" x14ac:dyDescent="0.35">
      <c r="A52" s="2">
        <v>1</v>
      </c>
      <c r="B52" s="2" t="s">
        <v>25</v>
      </c>
      <c r="C52" s="2" t="s">
        <v>14</v>
      </c>
      <c r="D52" s="2" t="s">
        <v>2</v>
      </c>
      <c r="E52" s="2">
        <f>H50+50</f>
        <v>1050</v>
      </c>
      <c r="F52" s="2">
        <v>100</v>
      </c>
      <c r="G52" s="2">
        <v>22</v>
      </c>
      <c r="H52" s="2">
        <v>7</v>
      </c>
      <c r="I52" s="2">
        <f t="shared" ref="I52:I55" si="2">E52*F52*G52*H52/304.8/304.8/304.8</f>
        <v>0.57103816088647041</v>
      </c>
      <c r="J52" s="2">
        <f>I58*10%</f>
        <v>0.13423104820837814</v>
      </c>
      <c r="K52" s="2">
        <v>925</v>
      </c>
      <c r="L52" s="2">
        <v>150</v>
      </c>
      <c r="M52" s="6">
        <v>30</v>
      </c>
      <c r="N52" s="6">
        <v>60</v>
      </c>
      <c r="O52" s="6">
        <v>10</v>
      </c>
      <c r="P52" s="6">
        <v>5</v>
      </c>
      <c r="Q52" s="6">
        <v>20</v>
      </c>
      <c r="R52" s="6"/>
      <c r="S52" s="7">
        <v>0.2</v>
      </c>
      <c r="T52" s="6"/>
    </row>
    <row r="53" spans="1:20" x14ac:dyDescent="0.35">
      <c r="A53" s="2">
        <v>2</v>
      </c>
      <c r="B53" s="2" t="s">
        <v>25</v>
      </c>
      <c r="C53" s="2" t="s">
        <v>14</v>
      </c>
      <c r="D53" s="2" t="s">
        <v>22</v>
      </c>
      <c r="E53" s="2">
        <f>I50+50</f>
        <v>1100</v>
      </c>
      <c r="F53" s="2">
        <v>100</v>
      </c>
      <c r="G53" s="2">
        <v>22</v>
      </c>
      <c r="H53" s="2">
        <v>3</v>
      </c>
      <c r="I53" s="2">
        <f t="shared" si="2"/>
        <v>0.25638448039800715</v>
      </c>
      <c r="J53" s="2"/>
      <c r="K53" s="2"/>
      <c r="L53" s="2"/>
      <c r="M53" s="6"/>
      <c r="N53" s="6"/>
      <c r="O53" s="6"/>
      <c r="P53" s="6"/>
      <c r="Q53" s="6"/>
      <c r="R53" s="6"/>
      <c r="S53" s="6"/>
      <c r="T53" s="6"/>
    </row>
    <row r="54" spans="1:20" x14ac:dyDescent="0.35">
      <c r="A54" s="2">
        <v>3</v>
      </c>
      <c r="B54" s="2" t="s">
        <v>25</v>
      </c>
      <c r="C54" s="2" t="s">
        <v>14</v>
      </c>
      <c r="D54" s="2" t="s">
        <v>23</v>
      </c>
      <c r="E54" s="2">
        <f>H50+50</f>
        <v>1050</v>
      </c>
      <c r="F54" s="2">
        <v>100</v>
      </c>
      <c r="G54" s="2">
        <v>22</v>
      </c>
      <c r="H54" s="2">
        <v>3</v>
      </c>
      <c r="I54" s="2">
        <f t="shared" si="2"/>
        <v>0.2447306403799159</v>
      </c>
      <c r="J54" s="2"/>
      <c r="K54" s="2"/>
      <c r="L54" s="2"/>
      <c r="M54" s="6"/>
      <c r="N54" s="6"/>
      <c r="O54" s="6"/>
      <c r="P54" s="6"/>
      <c r="Q54" s="6"/>
      <c r="R54" s="6"/>
      <c r="S54" s="6"/>
      <c r="T54" s="6"/>
    </row>
    <row r="55" spans="1:20" x14ac:dyDescent="0.35">
      <c r="A55" s="2">
        <v>4</v>
      </c>
      <c r="B55" s="2" t="s">
        <v>25</v>
      </c>
      <c r="C55" s="2" t="s">
        <v>14</v>
      </c>
      <c r="D55" s="2" t="s">
        <v>24</v>
      </c>
      <c r="E55" s="2">
        <v>100</v>
      </c>
      <c r="F55" s="2">
        <v>100</v>
      </c>
      <c r="G55" s="2">
        <v>85</v>
      </c>
      <c r="H55" s="2">
        <v>9</v>
      </c>
      <c r="I55" s="2">
        <f t="shared" si="2"/>
        <v>0.27015720041938768</v>
      </c>
      <c r="J55" s="2"/>
      <c r="K55" s="2"/>
      <c r="L55" s="2"/>
      <c r="M55" s="6"/>
      <c r="N55" s="6"/>
      <c r="O55" s="6"/>
      <c r="P55" s="6"/>
      <c r="Q55" s="6"/>
      <c r="R55" s="6"/>
      <c r="S55" s="6"/>
      <c r="T55" s="6"/>
    </row>
    <row r="56" spans="1:20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6"/>
      <c r="N56" s="6"/>
      <c r="O56" s="6"/>
      <c r="P56" s="6"/>
      <c r="Q56" s="6"/>
      <c r="R56" s="6"/>
      <c r="S56" s="6"/>
      <c r="T56" s="6"/>
    </row>
    <row r="57" spans="1:20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6"/>
      <c r="N57" s="6"/>
      <c r="O57" s="6"/>
      <c r="P57" s="6"/>
      <c r="Q57" s="6"/>
      <c r="R57" s="6"/>
      <c r="S57" s="6"/>
      <c r="T57" s="6"/>
    </row>
    <row r="58" spans="1:20" ht="15.5" x14ac:dyDescent="0.35">
      <c r="A58" s="3"/>
      <c r="B58" s="3"/>
      <c r="C58" s="3"/>
      <c r="D58" s="3"/>
      <c r="E58" s="3"/>
      <c r="F58" s="3"/>
      <c r="G58" s="3"/>
      <c r="H58" s="3"/>
      <c r="I58" s="4">
        <f>SUM(I52:I57)</f>
        <v>1.3423104820837812</v>
      </c>
      <c r="J58" s="4">
        <f>J52+I58</f>
        <v>1.4765415302921594</v>
      </c>
      <c r="K58" s="4">
        <f>J58*K52</f>
        <v>1365.8009155202474</v>
      </c>
      <c r="L58" s="4">
        <f>J58*L52</f>
        <v>221.4812295438239</v>
      </c>
      <c r="M58" s="4">
        <f>J58*M52</f>
        <v>44.296245908764782</v>
      </c>
      <c r="N58" s="4">
        <f>J58*N52</f>
        <v>88.592491817529563</v>
      </c>
      <c r="O58" s="4">
        <f>J58*O52</f>
        <v>14.765415302921594</v>
      </c>
      <c r="P58" s="4">
        <f>J58*P52</f>
        <v>7.3827076514607972</v>
      </c>
      <c r="Q58" s="4">
        <f>J58*Q52</f>
        <v>29.530830605843189</v>
      </c>
      <c r="R58" s="4">
        <f>SUM(K58:Q58)</f>
        <v>1771.8498363505914</v>
      </c>
      <c r="S58" s="4">
        <f>R58*S52</f>
        <v>354.36996727011831</v>
      </c>
      <c r="T58" s="5">
        <f>R58+S58</f>
        <v>2126.2198036207096</v>
      </c>
    </row>
    <row r="70" spans="1:20" ht="18.5" x14ac:dyDescent="0.45">
      <c r="A70" s="11">
        <v>6</v>
      </c>
      <c r="B70" s="1"/>
      <c r="C70" s="1"/>
      <c r="D70" s="1"/>
      <c r="E70" s="1"/>
      <c r="F70" s="1"/>
      <c r="G70" s="1">
        <v>25.4</v>
      </c>
      <c r="H70" s="12">
        <v>1150</v>
      </c>
      <c r="I70" s="13">
        <v>950</v>
      </c>
      <c r="J70" s="13">
        <v>150</v>
      </c>
      <c r="K70" s="9">
        <v>22</v>
      </c>
      <c r="L70" s="9"/>
      <c r="M70" s="10"/>
      <c r="N70" s="1"/>
      <c r="O70" s="1"/>
      <c r="P70" s="1"/>
      <c r="Q70" s="1"/>
      <c r="R70" s="1"/>
      <c r="S70" s="1"/>
      <c r="T70" s="1"/>
    </row>
    <row r="71" spans="1:20" ht="15.5" x14ac:dyDescent="0.35">
      <c r="A71" s="4" t="s">
        <v>4</v>
      </c>
      <c r="B71" s="4" t="s">
        <v>5</v>
      </c>
      <c r="C71" s="4" t="s">
        <v>6</v>
      </c>
      <c r="D71" s="4" t="s">
        <v>15</v>
      </c>
      <c r="E71" s="4" t="s">
        <v>7</v>
      </c>
      <c r="F71" s="4" t="s">
        <v>16</v>
      </c>
      <c r="G71" s="4" t="s">
        <v>17</v>
      </c>
      <c r="H71" s="4" t="s">
        <v>1</v>
      </c>
      <c r="I71" s="4" t="s">
        <v>8</v>
      </c>
      <c r="J71" s="4" t="s">
        <v>18</v>
      </c>
      <c r="K71" s="4" t="s">
        <v>9</v>
      </c>
      <c r="L71" s="4" t="s">
        <v>10</v>
      </c>
      <c r="M71" s="4" t="s">
        <v>11</v>
      </c>
      <c r="N71" s="4" t="s">
        <v>3</v>
      </c>
      <c r="O71" s="4" t="s">
        <v>20</v>
      </c>
      <c r="P71" s="4" t="s">
        <v>19</v>
      </c>
      <c r="Q71" s="4" t="s">
        <v>21</v>
      </c>
      <c r="R71" s="4" t="s">
        <v>0</v>
      </c>
      <c r="S71" s="4" t="s">
        <v>12</v>
      </c>
      <c r="T71" s="4" t="s">
        <v>13</v>
      </c>
    </row>
    <row r="72" spans="1:20" x14ac:dyDescent="0.35">
      <c r="A72" s="2">
        <v>1</v>
      </c>
      <c r="B72" s="2" t="s">
        <v>25</v>
      </c>
      <c r="C72" s="2" t="s">
        <v>14</v>
      </c>
      <c r="D72" s="2" t="s">
        <v>2</v>
      </c>
      <c r="E72" s="2">
        <f>H70+50</f>
        <v>1200</v>
      </c>
      <c r="F72" s="2">
        <v>100</v>
      </c>
      <c r="G72" s="2">
        <v>22</v>
      </c>
      <c r="H72" s="2">
        <v>7</v>
      </c>
      <c r="I72" s="2">
        <f t="shared" ref="I72:I77" si="3">E72*F72*G72*H72/304.8/304.8/304.8</f>
        <v>0.65261504101310908</v>
      </c>
      <c r="J72" s="2">
        <f>I80*10%</f>
        <v>0.17021669359757499</v>
      </c>
      <c r="K72" s="2">
        <v>925</v>
      </c>
      <c r="L72" s="2">
        <v>150</v>
      </c>
      <c r="M72" s="6">
        <v>30</v>
      </c>
      <c r="N72" s="6">
        <v>55</v>
      </c>
      <c r="O72" s="6">
        <v>10</v>
      </c>
      <c r="P72" s="6">
        <v>5</v>
      </c>
      <c r="Q72" s="6">
        <v>20</v>
      </c>
      <c r="R72" s="6"/>
      <c r="S72" s="7">
        <v>0.15</v>
      </c>
      <c r="T72" s="6"/>
    </row>
    <row r="73" spans="1:20" x14ac:dyDescent="0.35">
      <c r="A73" s="2">
        <v>1</v>
      </c>
      <c r="B73" s="2" t="s">
        <v>25</v>
      </c>
      <c r="C73" s="2" t="s">
        <v>14</v>
      </c>
      <c r="D73" s="2" t="s">
        <v>2</v>
      </c>
      <c r="E73" s="2">
        <f>I70+50</f>
        <v>1000</v>
      </c>
      <c r="F73" s="2">
        <v>100</v>
      </c>
      <c r="G73" s="2">
        <v>22</v>
      </c>
      <c r="H73" s="2">
        <v>3</v>
      </c>
      <c r="I73" s="2">
        <f t="shared" si="3"/>
        <v>0.23307680036182468</v>
      </c>
      <c r="J73" s="2"/>
      <c r="K73" s="2"/>
      <c r="L73" s="2"/>
      <c r="M73" s="6"/>
      <c r="N73" s="6"/>
      <c r="O73" s="6"/>
      <c r="P73" s="6"/>
      <c r="Q73" s="6"/>
      <c r="R73" s="6"/>
      <c r="S73" s="7"/>
      <c r="T73" s="6"/>
    </row>
    <row r="74" spans="1:20" x14ac:dyDescent="0.35">
      <c r="A74" s="2">
        <v>2</v>
      </c>
      <c r="B74" s="2" t="s">
        <v>25</v>
      </c>
      <c r="C74" s="2" t="s">
        <v>14</v>
      </c>
      <c r="D74" s="2" t="s">
        <v>22</v>
      </c>
      <c r="E74" s="2">
        <f>I70+50</f>
        <v>1000</v>
      </c>
      <c r="F74" s="2">
        <v>100</v>
      </c>
      <c r="G74" s="2">
        <v>22</v>
      </c>
      <c r="H74" s="2">
        <v>2</v>
      </c>
      <c r="I74" s="2">
        <f t="shared" si="3"/>
        <v>0.15538453357454979</v>
      </c>
      <c r="J74" s="2"/>
      <c r="K74" s="2"/>
      <c r="L74" s="2"/>
      <c r="M74" s="6"/>
      <c r="N74" s="6"/>
      <c r="O74" s="6"/>
      <c r="P74" s="6"/>
      <c r="Q74" s="6"/>
      <c r="R74" s="6"/>
      <c r="S74" s="6"/>
      <c r="T74" s="6"/>
    </row>
    <row r="75" spans="1:20" x14ac:dyDescent="0.35">
      <c r="A75" s="2">
        <v>3</v>
      </c>
      <c r="B75" s="2" t="s">
        <v>25</v>
      </c>
      <c r="C75" s="2" t="s">
        <v>14</v>
      </c>
      <c r="D75" s="2" t="s">
        <v>23</v>
      </c>
      <c r="E75" s="2">
        <f>H70+50</f>
        <v>1200</v>
      </c>
      <c r="F75" s="2">
        <v>100</v>
      </c>
      <c r="G75" s="2">
        <v>22</v>
      </c>
      <c r="H75" s="2">
        <v>3</v>
      </c>
      <c r="I75" s="2">
        <f t="shared" si="3"/>
        <v>0.2796921604341896</v>
      </c>
      <c r="J75" s="2"/>
      <c r="K75" s="2"/>
      <c r="L75" s="2"/>
      <c r="M75" s="6"/>
      <c r="N75" s="6"/>
      <c r="O75" s="6"/>
      <c r="P75" s="6"/>
      <c r="Q75" s="6"/>
      <c r="R75" s="6"/>
      <c r="S75" s="6"/>
      <c r="T75" s="6"/>
    </row>
    <row r="76" spans="1:20" x14ac:dyDescent="0.35">
      <c r="A76" s="2">
        <v>4</v>
      </c>
      <c r="B76" s="2" t="s">
        <v>25</v>
      </c>
      <c r="C76" s="2" t="s">
        <v>14</v>
      </c>
      <c r="D76" s="2" t="s">
        <v>24</v>
      </c>
      <c r="E76" s="2">
        <v>150</v>
      </c>
      <c r="F76" s="2">
        <v>100</v>
      </c>
      <c r="G76" s="2">
        <v>90</v>
      </c>
      <c r="H76" s="2">
        <v>6</v>
      </c>
      <c r="I76" s="2">
        <f t="shared" ref="I76" si="4">E76*F76*G76*H76/304.8/304.8/304.8</f>
        <v>0.28604880044405756</v>
      </c>
      <c r="J76" s="2"/>
      <c r="K76" s="2"/>
      <c r="L76" s="2"/>
      <c r="M76" s="6"/>
      <c r="N76" s="6"/>
      <c r="O76" s="6"/>
      <c r="P76" s="6"/>
      <c r="Q76" s="6"/>
      <c r="R76" s="6"/>
      <c r="S76" s="6"/>
      <c r="T76" s="6"/>
    </row>
    <row r="77" spans="1:20" x14ac:dyDescent="0.35">
      <c r="A77" s="2">
        <v>4</v>
      </c>
      <c r="B77" s="2" t="s">
        <v>25</v>
      </c>
      <c r="C77" s="2" t="s">
        <v>14</v>
      </c>
      <c r="D77" s="2" t="s">
        <v>24</v>
      </c>
      <c r="E77" s="2">
        <v>100</v>
      </c>
      <c r="F77" s="2">
        <v>100</v>
      </c>
      <c r="G77" s="2">
        <v>90</v>
      </c>
      <c r="H77" s="2">
        <v>3</v>
      </c>
      <c r="I77" s="2">
        <f t="shared" si="3"/>
        <v>9.5349600148019187E-2</v>
      </c>
      <c r="J77" s="2"/>
      <c r="K77" s="2"/>
      <c r="L77" s="2"/>
      <c r="M77" s="6"/>
      <c r="N77" s="6"/>
      <c r="O77" s="6"/>
      <c r="P77" s="6"/>
      <c r="Q77" s="6"/>
      <c r="R77" s="6"/>
      <c r="S77" s="6"/>
      <c r="T77" s="6"/>
    </row>
    <row r="78" spans="1:20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6"/>
      <c r="N78" s="6"/>
      <c r="O78" s="6"/>
      <c r="P78" s="6"/>
      <c r="Q78" s="6"/>
      <c r="R78" s="6"/>
      <c r="S78" s="6"/>
      <c r="T78" s="6"/>
    </row>
    <row r="79" spans="1:20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6"/>
      <c r="N79" s="6"/>
      <c r="O79" s="6"/>
      <c r="P79" s="6"/>
      <c r="Q79" s="6"/>
      <c r="R79" s="6"/>
      <c r="S79" s="6"/>
      <c r="T79" s="6"/>
    </row>
    <row r="80" spans="1:20" ht="15.5" x14ac:dyDescent="0.35">
      <c r="A80" s="3"/>
      <c r="B80" s="3"/>
      <c r="C80" s="3"/>
      <c r="D80" s="3"/>
      <c r="E80" s="3"/>
      <c r="F80" s="3"/>
      <c r="G80" s="3"/>
      <c r="H80" s="3"/>
      <c r="I80" s="4">
        <f>SUM(I72:I79)</f>
        <v>1.7021669359757499</v>
      </c>
      <c r="J80" s="4">
        <f>J72+I80</f>
        <v>1.8723836295733249</v>
      </c>
      <c r="K80" s="4">
        <f>J80*K72</f>
        <v>1731.9548573553257</v>
      </c>
      <c r="L80" s="4">
        <f>J80*L72</f>
        <v>280.85754443599876</v>
      </c>
      <c r="M80" s="4">
        <f>J80*M72</f>
        <v>56.171508887199749</v>
      </c>
      <c r="N80" s="4">
        <f>J80*N72</f>
        <v>102.98109962653287</v>
      </c>
      <c r="O80" s="4">
        <f>J80*O72</f>
        <v>18.72383629573325</v>
      </c>
      <c r="P80" s="4">
        <f>J80*P72</f>
        <v>9.3619181478666249</v>
      </c>
      <c r="Q80" s="4">
        <f>J80*Q72</f>
        <v>37.4476725914665</v>
      </c>
      <c r="R80" s="4">
        <f>SUM(K80:Q80)</f>
        <v>2237.4984373401235</v>
      </c>
      <c r="S80" s="4">
        <f>R80*S72</f>
        <v>335.62476560101851</v>
      </c>
      <c r="T80" s="5">
        <f>R80+S80</f>
        <v>2573.1232029411422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8498-8850-403A-AE6A-CF49C7230C90}">
  <dimension ref="A7:T81"/>
  <sheetViews>
    <sheetView topLeftCell="A61" workbookViewId="0">
      <selection activeCell="G9" sqref="G9"/>
    </sheetView>
  </sheetViews>
  <sheetFormatPr defaultRowHeight="14.5" x14ac:dyDescent="0.35"/>
  <cols>
    <col min="1" max="1" width="9.7265625" customWidth="1"/>
    <col min="2" max="2" width="12" customWidth="1"/>
    <col min="3" max="3" width="12.453125" customWidth="1"/>
    <col min="9" max="9" width="10.54296875" customWidth="1"/>
    <col min="10" max="10" width="10.7265625" customWidth="1"/>
    <col min="11" max="11" width="11.7265625" customWidth="1"/>
    <col min="12" max="12" width="11" customWidth="1"/>
    <col min="13" max="13" width="10.81640625" customWidth="1"/>
    <col min="14" max="14" width="11.453125" customWidth="1"/>
    <col min="15" max="15" width="11" customWidth="1"/>
    <col min="19" max="19" width="11.26953125" customWidth="1"/>
    <col min="20" max="20" width="13.81640625" customWidth="1"/>
  </cols>
  <sheetData>
    <row r="7" spans="1:20" ht="18.5" x14ac:dyDescent="0.45">
      <c r="A7" s="11">
        <v>1</v>
      </c>
      <c r="B7" s="1"/>
      <c r="C7" s="1"/>
      <c r="D7" s="1"/>
      <c r="E7" s="1"/>
      <c r="F7" s="1"/>
      <c r="G7" s="1">
        <v>25.4</v>
      </c>
      <c r="H7" s="12">
        <v>1150</v>
      </c>
      <c r="I7" s="13">
        <v>1150</v>
      </c>
      <c r="J7" s="13">
        <v>150</v>
      </c>
      <c r="K7" s="9">
        <v>22</v>
      </c>
      <c r="L7" s="9"/>
      <c r="M7" s="10"/>
      <c r="N7" s="1"/>
      <c r="O7" s="1"/>
      <c r="P7" s="1"/>
      <c r="Q7" s="1"/>
      <c r="R7" s="1"/>
      <c r="S7" s="1"/>
      <c r="T7" s="1"/>
    </row>
    <row r="8" spans="1:20" ht="15.5" x14ac:dyDescent="0.35">
      <c r="A8" s="4" t="s">
        <v>4</v>
      </c>
      <c r="B8" s="4" t="s">
        <v>5</v>
      </c>
      <c r="C8" s="4" t="s">
        <v>6</v>
      </c>
      <c r="D8" s="4" t="s">
        <v>15</v>
      </c>
      <c r="E8" s="4" t="s">
        <v>7</v>
      </c>
      <c r="F8" s="4" t="s">
        <v>16</v>
      </c>
      <c r="G8" s="4" t="s">
        <v>17</v>
      </c>
      <c r="H8" s="4" t="s">
        <v>1</v>
      </c>
      <c r="I8" s="4" t="s">
        <v>8</v>
      </c>
      <c r="J8" s="4" t="s">
        <v>18</v>
      </c>
      <c r="K8" s="4" t="s">
        <v>9</v>
      </c>
      <c r="L8" s="4" t="s">
        <v>10</v>
      </c>
      <c r="M8" s="4" t="s">
        <v>11</v>
      </c>
      <c r="N8" s="4" t="s">
        <v>3</v>
      </c>
      <c r="O8" s="4" t="s">
        <v>20</v>
      </c>
      <c r="P8" s="4" t="s">
        <v>19</v>
      </c>
      <c r="Q8" s="4" t="s">
        <v>21</v>
      </c>
      <c r="R8" s="4" t="s">
        <v>0</v>
      </c>
      <c r="S8" s="4" t="s">
        <v>12</v>
      </c>
      <c r="T8" s="4" t="s">
        <v>13</v>
      </c>
    </row>
    <row r="9" spans="1:20" x14ac:dyDescent="0.35">
      <c r="A9" s="2">
        <v>1</v>
      </c>
      <c r="B9" s="2" t="s">
        <v>25</v>
      </c>
      <c r="C9" s="2" t="s">
        <v>14</v>
      </c>
      <c r="D9" s="2" t="s">
        <v>2</v>
      </c>
      <c r="E9" s="2">
        <f>H7+50</f>
        <v>1200</v>
      </c>
      <c r="F9" s="2">
        <v>75</v>
      </c>
      <c r="G9" s="2">
        <v>16</v>
      </c>
      <c r="H9" s="2">
        <v>7</v>
      </c>
      <c r="I9" s="2">
        <f t="shared" ref="I9:I12" si="0">E9*F9*G9*H9/304.8/304.8/304.8</f>
        <v>0.35597184055260495</v>
      </c>
      <c r="J9" s="2">
        <f>I15*10%</f>
        <v>8.3093203628992557E-2</v>
      </c>
      <c r="K9" s="2">
        <v>925</v>
      </c>
      <c r="L9" s="2">
        <v>150</v>
      </c>
      <c r="M9" s="6">
        <v>30</v>
      </c>
      <c r="N9" s="6">
        <v>60</v>
      </c>
      <c r="O9" s="6">
        <v>10</v>
      </c>
      <c r="P9" s="6">
        <v>5</v>
      </c>
      <c r="Q9" s="6">
        <v>20</v>
      </c>
      <c r="R9" s="6"/>
      <c r="S9" s="7">
        <v>0.2</v>
      </c>
      <c r="T9" s="6"/>
    </row>
    <row r="10" spans="1:20" x14ac:dyDescent="0.35">
      <c r="A10" s="2">
        <v>2</v>
      </c>
      <c r="B10" s="2" t="s">
        <v>25</v>
      </c>
      <c r="C10" s="2" t="s">
        <v>14</v>
      </c>
      <c r="D10" s="2" t="s">
        <v>22</v>
      </c>
      <c r="E10" s="2">
        <f>I7+50</f>
        <v>1200</v>
      </c>
      <c r="F10" s="2">
        <v>75</v>
      </c>
      <c r="G10" s="2">
        <v>16</v>
      </c>
      <c r="H10" s="2">
        <v>3</v>
      </c>
      <c r="I10" s="2">
        <f t="shared" si="0"/>
        <v>0.15255936023683067</v>
      </c>
      <c r="J10" s="2"/>
      <c r="K10" s="2"/>
      <c r="L10" s="2"/>
      <c r="M10" s="6"/>
      <c r="N10" s="6"/>
      <c r="O10" s="6"/>
      <c r="P10" s="6"/>
      <c r="Q10" s="6"/>
      <c r="R10" s="6"/>
      <c r="S10" s="6"/>
      <c r="T10" s="6"/>
    </row>
    <row r="11" spans="1:20" x14ac:dyDescent="0.35">
      <c r="A11" s="2">
        <v>3</v>
      </c>
      <c r="B11" s="2" t="s">
        <v>25</v>
      </c>
      <c r="C11" s="2" t="s">
        <v>14</v>
      </c>
      <c r="D11" s="2" t="s">
        <v>23</v>
      </c>
      <c r="E11" s="2">
        <f>H7+50</f>
        <v>1200</v>
      </c>
      <c r="F11" s="2">
        <v>75</v>
      </c>
      <c r="G11" s="2">
        <v>16</v>
      </c>
      <c r="H11" s="2">
        <v>3</v>
      </c>
      <c r="I11" s="2">
        <f t="shared" si="0"/>
        <v>0.15255936023683067</v>
      </c>
      <c r="J11" s="2"/>
      <c r="K11" s="2"/>
      <c r="L11" s="2"/>
      <c r="M11" s="6"/>
      <c r="N11" s="6"/>
      <c r="O11" s="6"/>
      <c r="P11" s="6"/>
      <c r="Q11" s="6"/>
      <c r="R11" s="6"/>
      <c r="S11" s="6"/>
      <c r="T11" s="6"/>
    </row>
    <row r="12" spans="1:20" x14ac:dyDescent="0.35">
      <c r="A12" s="2">
        <v>4</v>
      </c>
      <c r="B12" s="2" t="s">
        <v>25</v>
      </c>
      <c r="C12" s="2" t="s">
        <v>14</v>
      </c>
      <c r="D12" s="2" t="s">
        <v>24</v>
      </c>
      <c r="E12" s="2">
        <v>75</v>
      </c>
      <c r="F12" s="2">
        <v>75</v>
      </c>
      <c r="G12" s="2">
        <v>95</v>
      </c>
      <c r="H12" s="2">
        <v>9</v>
      </c>
      <c r="I12" s="2">
        <f t="shared" si="0"/>
        <v>0.16984147526365917</v>
      </c>
      <c r="J12" s="2"/>
      <c r="K12" s="2"/>
      <c r="L12" s="2"/>
      <c r="M12" s="6"/>
      <c r="N12" s="6"/>
      <c r="O12" s="6"/>
      <c r="P12" s="6"/>
      <c r="Q12" s="6"/>
      <c r="R12" s="6"/>
      <c r="S12" s="6"/>
      <c r="T12" s="6"/>
    </row>
    <row r="13" spans="1:2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6"/>
      <c r="N13" s="6"/>
      <c r="O13" s="6"/>
      <c r="P13" s="6"/>
      <c r="Q13" s="6"/>
      <c r="R13" s="6"/>
      <c r="S13" s="6"/>
      <c r="T13" s="6"/>
    </row>
    <row r="14" spans="1:2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6"/>
      <c r="N14" s="6"/>
      <c r="O14" s="6"/>
      <c r="P14" s="6"/>
      <c r="Q14" s="6"/>
      <c r="R14" s="6"/>
      <c r="S14" s="6"/>
      <c r="T14" s="6"/>
    </row>
    <row r="15" spans="1:20" ht="15.5" x14ac:dyDescent="0.35">
      <c r="A15" s="3"/>
      <c r="B15" s="3"/>
      <c r="C15" s="3"/>
      <c r="D15" s="3"/>
      <c r="E15" s="3"/>
      <c r="F15" s="3"/>
      <c r="G15" s="3"/>
      <c r="H15" s="3"/>
      <c r="I15" s="4">
        <f>SUM(I9:I14)</f>
        <v>0.83093203628992551</v>
      </c>
      <c r="J15" s="4">
        <f>J9+I15</f>
        <v>0.91402523991891804</v>
      </c>
      <c r="K15" s="4">
        <f>J15*K9</f>
        <v>845.47334692499919</v>
      </c>
      <c r="L15" s="4">
        <f>J15*L9</f>
        <v>137.10378598783771</v>
      </c>
      <c r="M15" s="4">
        <f>J15*M9</f>
        <v>27.420757197567543</v>
      </c>
      <c r="N15" s="4">
        <f>J15*N9</f>
        <v>54.841514395135086</v>
      </c>
      <c r="O15" s="4">
        <f>J15*O9</f>
        <v>9.1402523991891798</v>
      </c>
      <c r="P15" s="4">
        <f>J15*P9</f>
        <v>4.5701261995945899</v>
      </c>
      <c r="Q15" s="4">
        <f>J15*Q9</f>
        <v>18.28050479837836</v>
      </c>
      <c r="R15" s="4">
        <f>SUM(K15:Q15)</f>
        <v>1096.8302879027017</v>
      </c>
      <c r="S15" s="4">
        <f>R15*S9</f>
        <v>219.36605758054034</v>
      </c>
      <c r="T15" s="5">
        <f>R15+S15</f>
        <v>1316.1963454832421</v>
      </c>
    </row>
    <row r="22" spans="1:20" ht="18.5" x14ac:dyDescent="0.45">
      <c r="A22" s="11">
        <v>2</v>
      </c>
      <c r="B22" s="1"/>
      <c r="C22" s="1"/>
      <c r="D22" s="1"/>
      <c r="E22" s="1"/>
      <c r="F22" s="1"/>
      <c r="G22" s="1">
        <v>25.4</v>
      </c>
      <c r="H22" s="12">
        <v>1000</v>
      </c>
      <c r="I22" s="13">
        <v>1000</v>
      </c>
      <c r="J22" s="13">
        <v>150</v>
      </c>
      <c r="K22" s="9">
        <v>22</v>
      </c>
      <c r="L22" s="9"/>
      <c r="M22" s="10"/>
      <c r="N22" s="1"/>
      <c r="O22" s="1"/>
      <c r="P22" s="1"/>
      <c r="Q22" s="1"/>
      <c r="R22" s="1"/>
      <c r="S22" s="1"/>
      <c r="T22" s="1"/>
    </row>
    <row r="23" spans="1:20" ht="15.5" x14ac:dyDescent="0.35">
      <c r="A23" s="4" t="s">
        <v>4</v>
      </c>
      <c r="B23" s="4" t="s">
        <v>5</v>
      </c>
      <c r="C23" s="4" t="s">
        <v>6</v>
      </c>
      <c r="D23" s="4" t="s">
        <v>15</v>
      </c>
      <c r="E23" s="4" t="s">
        <v>7</v>
      </c>
      <c r="F23" s="4" t="s">
        <v>16</v>
      </c>
      <c r="G23" s="4" t="s">
        <v>17</v>
      </c>
      <c r="H23" s="4" t="s">
        <v>1</v>
      </c>
      <c r="I23" s="4" t="s">
        <v>8</v>
      </c>
      <c r="J23" s="4" t="s">
        <v>18</v>
      </c>
      <c r="K23" s="4" t="s">
        <v>9</v>
      </c>
      <c r="L23" s="4" t="s">
        <v>10</v>
      </c>
      <c r="M23" s="4" t="s">
        <v>11</v>
      </c>
      <c r="N23" s="4" t="s">
        <v>3</v>
      </c>
      <c r="O23" s="4" t="s">
        <v>20</v>
      </c>
      <c r="P23" s="4" t="s">
        <v>19</v>
      </c>
      <c r="Q23" s="4" t="s">
        <v>21</v>
      </c>
      <c r="R23" s="4" t="s">
        <v>0</v>
      </c>
      <c r="S23" s="4" t="s">
        <v>12</v>
      </c>
      <c r="T23" s="4" t="s">
        <v>13</v>
      </c>
    </row>
    <row r="24" spans="1:20" x14ac:dyDescent="0.35">
      <c r="A24" s="2">
        <v>1</v>
      </c>
      <c r="B24" s="2" t="s">
        <v>25</v>
      </c>
      <c r="C24" s="2" t="s">
        <v>14</v>
      </c>
      <c r="D24" s="2" t="s">
        <v>2</v>
      </c>
      <c r="E24" s="2">
        <f>H22+50</f>
        <v>1050</v>
      </c>
      <c r="F24" s="2">
        <v>75</v>
      </c>
      <c r="G24" s="2">
        <v>16</v>
      </c>
      <c r="H24" s="2">
        <v>7</v>
      </c>
      <c r="I24" s="2">
        <f>E24*F24*G24*H24/304.8/304.8/304.8</f>
        <v>0.31147536048352936</v>
      </c>
      <c r="J24" s="2">
        <f>I30*10%</f>
        <v>8.0490954124952885E-2</v>
      </c>
      <c r="K24" s="2">
        <v>925</v>
      </c>
      <c r="L24" s="2">
        <v>150</v>
      </c>
      <c r="M24" s="6">
        <v>30</v>
      </c>
      <c r="N24" s="6">
        <v>65</v>
      </c>
      <c r="O24" s="6">
        <v>10</v>
      </c>
      <c r="P24" s="6">
        <v>5</v>
      </c>
      <c r="Q24" s="6">
        <v>20</v>
      </c>
      <c r="R24" s="6"/>
      <c r="S24" s="7">
        <v>0.2</v>
      </c>
      <c r="T24" s="6"/>
    </row>
    <row r="25" spans="1:20" x14ac:dyDescent="0.35">
      <c r="A25" s="2">
        <v>2</v>
      </c>
      <c r="B25" s="2" t="s">
        <v>25</v>
      </c>
      <c r="C25" s="2" t="s">
        <v>14</v>
      </c>
      <c r="D25" s="2" t="s">
        <v>22</v>
      </c>
      <c r="E25" s="2">
        <f>I22+50</f>
        <v>1050</v>
      </c>
      <c r="F25" s="2">
        <v>75</v>
      </c>
      <c r="G25" s="2">
        <v>16</v>
      </c>
      <c r="H25" s="2">
        <v>3</v>
      </c>
      <c r="I25" s="2">
        <f>E25*F25*G25*H25/304.8/304.8/304.8</f>
        <v>0.13348944020722686</v>
      </c>
      <c r="J25" s="2"/>
      <c r="K25" s="2"/>
      <c r="L25" s="2"/>
      <c r="M25" s="6"/>
      <c r="N25" s="6"/>
      <c r="O25" s="6"/>
      <c r="P25" s="6"/>
      <c r="Q25" s="6"/>
      <c r="R25" s="6"/>
      <c r="S25" s="6"/>
      <c r="T25" s="6"/>
    </row>
    <row r="26" spans="1:20" x14ac:dyDescent="0.35">
      <c r="A26" s="2">
        <v>3</v>
      </c>
      <c r="B26" s="2" t="s">
        <v>25</v>
      </c>
      <c r="C26" s="2" t="s">
        <v>14</v>
      </c>
      <c r="D26" s="2" t="s">
        <v>23</v>
      </c>
      <c r="E26" s="2">
        <f>H22+50</f>
        <v>1050</v>
      </c>
      <c r="F26" s="2">
        <v>75</v>
      </c>
      <c r="G26" s="2">
        <v>16</v>
      </c>
      <c r="H26" s="2">
        <v>3</v>
      </c>
      <c r="I26" s="2">
        <f>E26*F26*G26*H26/304.8/304.8/304.8</f>
        <v>0.13348944020722686</v>
      </c>
      <c r="J26" s="2"/>
      <c r="K26" s="2"/>
      <c r="L26" s="2"/>
      <c r="M26" s="6"/>
      <c r="N26" s="6"/>
      <c r="O26" s="6"/>
      <c r="P26" s="6"/>
      <c r="Q26" s="6"/>
      <c r="R26" s="6"/>
      <c r="S26" s="6"/>
      <c r="T26" s="6"/>
    </row>
    <row r="27" spans="1:20" x14ac:dyDescent="0.35">
      <c r="A27" s="2">
        <v>4</v>
      </c>
      <c r="B27" s="2" t="s">
        <v>25</v>
      </c>
      <c r="C27" s="2" t="s">
        <v>14</v>
      </c>
      <c r="D27" s="2" t="s">
        <v>24</v>
      </c>
      <c r="E27" s="2">
        <v>100</v>
      </c>
      <c r="F27" s="2">
        <v>75</v>
      </c>
      <c r="G27" s="2">
        <v>95</v>
      </c>
      <c r="H27" s="2">
        <v>9</v>
      </c>
      <c r="I27" s="2">
        <f>E27*F27*G27*H27/304.8/304.8/304.8</f>
        <v>0.2264553003515456</v>
      </c>
      <c r="J27" s="2"/>
      <c r="K27" s="2"/>
      <c r="L27" s="2"/>
      <c r="M27" s="6"/>
      <c r="N27" s="6"/>
      <c r="O27" s="6"/>
      <c r="P27" s="6"/>
      <c r="Q27" s="6"/>
      <c r="R27" s="6"/>
      <c r="S27" s="6"/>
      <c r="T27" s="6"/>
    </row>
    <row r="28" spans="1:2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"/>
      <c r="N28" s="6"/>
      <c r="O28" s="6"/>
      <c r="P28" s="6"/>
      <c r="Q28" s="6"/>
      <c r="R28" s="6"/>
      <c r="S28" s="6"/>
      <c r="T28" s="6"/>
    </row>
    <row r="29" spans="1:2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"/>
      <c r="N29" s="6"/>
      <c r="O29" s="6"/>
      <c r="P29" s="6"/>
      <c r="Q29" s="6"/>
      <c r="R29" s="6"/>
      <c r="S29" s="6"/>
      <c r="T29" s="6"/>
    </row>
    <row r="30" spans="1:20" ht="15.5" x14ac:dyDescent="0.35">
      <c r="A30" s="3"/>
      <c r="B30" s="3"/>
      <c r="C30" s="3"/>
      <c r="D30" s="3"/>
      <c r="E30" s="3"/>
      <c r="F30" s="3"/>
      <c r="G30" s="3"/>
      <c r="H30" s="3"/>
      <c r="I30" s="4">
        <f>SUM(I24:I29)</f>
        <v>0.80490954124952874</v>
      </c>
      <c r="J30" s="4">
        <f>J24+I30</f>
        <v>0.88540049537448162</v>
      </c>
      <c r="K30" s="4">
        <f>J30*K24</f>
        <v>818.99545822139555</v>
      </c>
      <c r="L30" s="4">
        <f>J30*L24</f>
        <v>132.81007430617225</v>
      </c>
      <c r="M30" s="4">
        <f>J30*M24</f>
        <v>26.562014861234449</v>
      </c>
      <c r="N30" s="4">
        <f>J30*N24</f>
        <v>57.551032199341307</v>
      </c>
      <c r="O30" s="4">
        <f>J30*O24</f>
        <v>8.8540049537448162</v>
      </c>
      <c r="P30" s="4">
        <f>J30*P24</f>
        <v>4.4270024768724081</v>
      </c>
      <c r="Q30" s="4">
        <f>J30*Q24</f>
        <v>17.708009907489632</v>
      </c>
      <c r="R30" s="4">
        <f>SUM(K30:Q30)</f>
        <v>1066.9075969262503</v>
      </c>
      <c r="S30" s="4">
        <f>R30*S24</f>
        <v>213.38151938525007</v>
      </c>
      <c r="T30" s="5">
        <f>R30+S30</f>
        <v>1280.2891163115005</v>
      </c>
    </row>
    <row r="36" spans="1:20" ht="18.5" x14ac:dyDescent="0.45">
      <c r="A36" s="11">
        <v>3</v>
      </c>
      <c r="B36" s="1"/>
      <c r="C36" s="1"/>
      <c r="D36" s="1"/>
      <c r="E36" s="1"/>
      <c r="F36" s="1"/>
      <c r="G36" s="1">
        <v>25.4</v>
      </c>
      <c r="H36" s="12">
        <v>950</v>
      </c>
      <c r="I36" s="13">
        <v>1150</v>
      </c>
      <c r="J36" s="13">
        <v>150</v>
      </c>
      <c r="K36" s="9">
        <v>22</v>
      </c>
      <c r="L36" s="9"/>
      <c r="M36" s="10"/>
      <c r="N36" s="1"/>
      <c r="O36" s="1"/>
      <c r="P36" s="1"/>
      <c r="Q36" s="1"/>
      <c r="R36" s="1"/>
      <c r="S36" s="1"/>
      <c r="T36" s="1"/>
    </row>
    <row r="37" spans="1:20" ht="15.5" x14ac:dyDescent="0.35">
      <c r="A37" s="4" t="s">
        <v>4</v>
      </c>
      <c r="B37" s="4" t="s">
        <v>5</v>
      </c>
      <c r="C37" s="4" t="s">
        <v>6</v>
      </c>
      <c r="D37" s="4" t="s">
        <v>15</v>
      </c>
      <c r="E37" s="4" t="s">
        <v>7</v>
      </c>
      <c r="F37" s="4" t="s">
        <v>16</v>
      </c>
      <c r="G37" s="4" t="s">
        <v>17</v>
      </c>
      <c r="H37" s="4" t="s">
        <v>1</v>
      </c>
      <c r="I37" s="4" t="s">
        <v>8</v>
      </c>
      <c r="J37" s="4" t="s">
        <v>18</v>
      </c>
      <c r="K37" s="4" t="s">
        <v>9</v>
      </c>
      <c r="L37" s="4" t="s">
        <v>10</v>
      </c>
      <c r="M37" s="4" t="s">
        <v>11</v>
      </c>
      <c r="N37" s="4" t="s">
        <v>3</v>
      </c>
      <c r="O37" s="4" t="s">
        <v>20</v>
      </c>
      <c r="P37" s="4" t="s">
        <v>19</v>
      </c>
      <c r="Q37" s="4" t="s">
        <v>21</v>
      </c>
      <c r="R37" s="4" t="s">
        <v>0</v>
      </c>
      <c r="S37" s="4" t="s">
        <v>12</v>
      </c>
      <c r="T37" s="4" t="s">
        <v>13</v>
      </c>
    </row>
    <row r="38" spans="1:20" x14ac:dyDescent="0.35">
      <c r="A38" s="2">
        <v>1</v>
      </c>
      <c r="B38" s="2" t="s">
        <v>25</v>
      </c>
      <c r="C38" s="2" t="s">
        <v>14</v>
      </c>
      <c r="D38" s="2" t="s">
        <v>2</v>
      </c>
      <c r="E38" s="2">
        <f>H36+50</f>
        <v>1000</v>
      </c>
      <c r="F38" s="2">
        <v>75</v>
      </c>
      <c r="G38" s="2">
        <v>16</v>
      </c>
      <c r="H38" s="2">
        <v>7</v>
      </c>
      <c r="I38" s="2">
        <f t="shared" ref="I38:I41" si="1">E38*F38*G38*H38/304.8/304.8/304.8</f>
        <v>0.29664320046050413</v>
      </c>
      <c r="J38" s="2">
        <f>I44*10%</f>
        <v>7.4617683615835304E-2</v>
      </c>
      <c r="K38" s="2">
        <v>925</v>
      </c>
      <c r="L38" s="2">
        <v>150</v>
      </c>
      <c r="M38" s="6">
        <v>30</v>
      </c>
      <c r="N38" s="6">
        <v>60</v>
      </c>
      <c r="O38" s="6">
        <v>10</v>
      </c>
      <c r="P38" s="6">
        <v>5</v>
      </c>
      <c r="Q38" s="6">
        <v>20</v>
      </c>
      <c r="R38" s="6"/>
      <c r="S38" s="7">
        <v>0.2</v>
      </c>
      <c r="T38" s="6"/>
    </row>
    <row r="39" spans="1:20" x14ac:dyDescent="0.35">
      <c r="A39" s="2">
        <v>2</v>
      </c>
      <c r="B39" s="2" t="s">
        <v>25</v>
      </c>
      <c r="C39" s="2" t="s">
        <v>14</v>
      </c>
      <c r="D39" s="2" t="s">
        <v>22</v>
      </c>
      <c r="E39" s="2">
        <f>I36+50</f>
        <v>1200</v>
      </c>
      <c r="F39" s="2">
        <v>75</v>
      </c>
      <c r="G39" s="2">
        <v>16</v>
      </c>
      <c r="H39" s="2">
        <v>3</v>
      </c>
      <c r="I39" s="2">
        <f t="shared" si="1"/>
        <v>0.15255936023683067</v>
      </c>
      <c r="J39" s="2"/>
      <c r="K39" s="2"/>
      <c r="L39" s="2"/>
      <c r="M39" s="6"/>
      <c r="N39" s="6"/>
      <c r="O39" s="6"/>
      <c r="P39" s="6"/>
      <c r="Q39" s="6"/>
      <c r="R39" s="6"/>
      <c r="S39" s="6"/>
      <c r="T39" s="6"/>
    </row>
    <row r="40" spans="1:20" x14ac:dyDescent="0.35">
      <c r="A40" s="2">
        <v>3</v>
      </c>
      <c r="B40" s="2" t="s">
        <v>25</v>
      </c>
      <c r="C40" s="2" t="s">
        <v>14</v>
      </c>
      <c r="D40" s="2" t="s">
        <v>23</v>
      </c>
      <c r="E40" s="2">
        <f>H36+50</f>
        <v>1000</v>
      </c>
      <c r="F40" s="2">
        <v>75</v>
      </c>
      <c r="G40" s="2">
        <v>16</v>
      </c>
      <c r="H40" s="2">
        <v>3</v>
      </c>
      <c r="I40" s="2">
        <f t="shared" si="1"/>
        <v>0.1271328001973589</v>
      </c>
      <c r="J40" s="2"/>
      <c r="K40" s="2"/>
      <c r="L40" s="2"/>
      <c r="M40" s="6"/>
      <c r="N40" s="6"/>
      <c r="O40" s="6"/>
      <c r="P40" s="6"/>
      <c r="Q40" s="6"/>
      <c r="R40" s="6"/>
      <c r="S40" s="6"/>
      <c r="T40" s="6"/>
    </row>
    <row r="41" spans="1:20" x14ac:dyDescent="0.35">
      <c r="A41" s="2">
        <v>4</v>
      </c>
      <c r="B41" s="2" t="s">
        <v>25</v>
      </c>
      <c r="C41" s="2" t="s">
        <v>14</v>
      </c>
      <c r="D41" s="2" t="s">
        <v>24</v>
      </c>
      <c r="E41" s="2">
        <v>75</v>
      </c>
      <c r="F41" s="2">
        <v>75</v>
      </c>
      <c r="G41" s="2">
        <v>95</v>
      </c>
      <c r="H41" s="2">
        <v>9</v>
      </c>
      <c r="I41" s="2">
        <f t="shared" si="1"/>
        <v>0.16984147526365917</v>
      </c>
      <c r="J41" s="2"/>
      <c r="K41" s="2"/>
      <c r="L41" s="2"/>
      <c r="M41" s="6"/>
      <c r="N41" s="6"/>
      <c r="O41" s="6"/>
      <c r="P41" s="6"/>
      <c r="Q41" s="6"/>
      <c r="R41" s="6"/>
      <c r="S41" s="6"/>
      <c r="T41" s="6"/>
    </row>
    <row r="42" spans="1:20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6"/>
      <c r="N42" s="6"/>
      <c r="O42" s="6"/>
      <c r="P42" s="6"/>
      <c r="Q42" s="6"/>
      <c r="R42" s="6"/>
      <c r="S42" s="6"/>
      <c r="T42" s="6"/>
    </row>
    <row r="43" spans="1:20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6"/>
      <c r="N43" s="6"/>
      <c r="O43" s="6"/>
      <c r="P43" s="6"/>
      <c r="Q43" s="6"/>
      <c r="R43" s="6"/>
      <c r="S43" s="6"/>
      <c r="T43" s="6"/>
    </row>
    <row r="44" spans="1:20" ht="15.5" x14ac:dyDescent="0.35">
      <c r="A44" s="3"/>
      <c r="B44" s="3"/>
      <c r="C44" s="3"/>
      <c r="D44" s="3"/>
      <c r="E44" s="3"/>
      <c r="F44" s="3"/>
      <c r="G44" s="3"/>
      <c r="H44" s="3"/>
      <c r="I44" s="4">
        <f>SUM(I38:I43)</f>
        <v>0.74617683615835295</v>
      </c>
      <c r="J44" s="4">
        <f>J38+I44</f>
        <v>0.82079451977418827</v>
      </c>
      <c r="K44" s="4">
        <f>J44*K38</f>
        <v>759.23493079112416</v>
      </c>
      <c r="L44" s="4">
        <f>J44*L38</f>
        <v>123.11917796612823</v>
      </c>
      <c r="M44" s="4">
        <f>J44*M38</f>
        <v>24.62383559322565</v>
      </c>
      <c r="N44" s="4">
        <f>J44*N38</f>
        <v>49.247671186451299</v>
      </c>
      <c r="O44" s="4">
        <f>J44*O38</f>
        <v>8.207945197741882</v>
      </c>
      <c r="P44" s="4">
        <f>J44*P38</f>
        <v>4.103972598870941</v>
      </c>
      <c r="Q44" s="4">
        <f>J44*Q38</f>
        <v>16.415890395483764</v>
      </c>
      <c r="R44" s="4">
        <f>SUM(K44:Q44)</f>
        <v>984.95342372902587</v>
      </c>
      <c r="S44" s="4">
        <f>R44*S38</f>
        <v>196.9906847458052</v>
      </c>
      <c r="T44" s="5">
        <f>R44+S44</f>
        <v>1181.944108474831</v>
      </c>
    </row>
    <row r="51" spans="1:20" ht="18.5" x14ac:dyDescent="0.45">
      <c r="A51" s="11">
        <v>4</v>
      </c>
      <c r="B51" s="1"/>
      <c r="C51" s="1"/>
      <c r="D51" s="1"/>
      <c r="E51" s="1"/>
      <c r="F51" s="1"/>
      <c r="G51" s="1">
        <v>25.4</v>
      </c>
      <c r="H51" s="12">
        <v>1000</v>
      </c>
      <c r="I51" s="13">
        <v>1050</v>
      </c>
      <c r="J51" s="13">
        <v>150</v>
      </c>
      <c r="K51" s="9">
        <v>22</v>
      </c>
      <c r="L51" s="9"/>
      <c r="M51" s="10"/>
      <c r="N51" s="1"/>
      <c r="O51" s="1"/>
      <c r="P51" s="1"/>
      <c r="Q51" s="1"/>
      <c r="R51" s="1"/>
      <c r="S51" s="1"/>
      <c r="T51" s="1"/>
    </row>
    <row r="52" spans="1:20" ht="15.5" x14ac:dyDescent="0.35">
      <c r="A52" s="4" t="s">
        <v>4</v>
      </c>
      <c r="B52" s="4" t="s">
        <v>5</v>
      </c>
      <c r="C52" s="4" t="s">
        <v>6</v>
      </c>
      <c r="D52" s="4" t="s">
        <v>15</v>
      </c>
      <c r="E52" s="4" t="s">
        <v>7</v>
      </c>
      <c r="F52" s="4" t="s">
        <v>16</v>
      </c>
      <c r="G52" s="4" t="s">
        <v>17</v>
      </c>
      <c r="H52" s="4" t="s">
        <v>1</v>
      </c>
      <c r="I52" s="4" t="s">
        <v>8</v>
      </c>
      <c r="J52" s="4" t="s">
        <v>18</v>
      </c>
      <c r="K52" s="4" t="s">
        <v>9</v>
      </c>
      <c r="L52" s="4" t="s">
        <v>10</v>
      </c>
      <c r="M52" s="4" t="s">
        <v>11</v>
      </c>
      <c r="N52" s="4" t="s">
        <v>3</v>
      </c>
      <c r="O52" s="4" t="s">
        <v>20</v>
      </c>
      <c r="P52" s="4" t="s">
        <v>19</v>
      </c>
      <c r="Q52" s="4" t="s">
        <v>21</v>
      </c>
      <c r="R52" s="4" t="s">
        <v>0</v>
      </c>
      <c r="S52" s="4" t="s">
        <v>12</v>
      </c>
      <c r="T52" s="4" t="s">
        <v>13</v>
      </c>
    </row>
    <row r="53" spans="1:20" x14ac:dyDescent="0.35">
      <c r="A53" s="2">
        <v>1</v>
      </c>
      <c r="B53" s="2" t="s">
        <v>25</v>
      </c>
      <c r="C53" s="2" t="s">
        <v>14</v>
      </c>
      <c r="D53" s="2" t="s">
        <v>2</v>
      </c>
      <c r="E53" s="2">
        <f>H51+50</f>
        <v>1050</v>
      </c>
      <c r="F53" s="2">
        <v>75</v>
      </c>
      <c r="G53" s="2">
        <v>16</v>
      </c>
      <c r="H53" s="2">
        <v>7</v>
      </c>
      <c r="I53" s="2">
        <f t="shared" ref="I53:I56" si="2">E53*F53*G53*H53/304.8/304.8/304.8</f>
        <v>0.31147536048352936</v>
      </c>
      <c r="J53" s="2">
        <f>I59*10%</f>
        <v>8.1126618125939673E-2</v>
      </c>
      <c r="K53" s="2">
        <v>925</v>
      </c>
      <c r="L53" s="2">
        <v>150</v>
      </c>
      <c r="M53" s="6">
        <v>30</v>
      </c>
      <c r="N53" s="6">
        <v>60</v>
      </c>
      <c r="O53" s="6">
        <v>10</v>
      </c>
      <c r="P53" s="6">
        <v>5</v>
      </c>
      <c r="Q53" s="6">
        <v>20</v>
      </c>
      <c r="R53" s="6"/>
      <c r="S53" s="7">
        <v>0.2</v>
      </c>
      <c r="T53" s="6"/>
    </row>
    <row r="54" spans="1:20" x14ac:dyDescent="0.35">
      <c r="A54" s="2">
        <v>2</v>
      </c>
      <c r="B54" s="2" t="s">
        <v>25</v>
      </c>
      <c r="C54" s="2" t="s">
        <v>14</v>
      </c>
      <c r="D54" s="2" t="s">
        <v>22</v>
      </c>
      <c r="E54" s="2">
        <f>I51+50</f>
        <v>1100</v>
      </c>
      <c r="F54" s="2">
        <v>75</v>
      </c>
      <c r="G54" s="2">
        <v>16</v>
      </c>
      <c r="H54" s="2">
        <v>3</v>
      </c>
      <c r="I54" s="2">
        <f t="shared" si="2"/>
        <v>0.1398460802170948</v>
      </c>
      <c r="J54" s="2"/>
      <c r="K54" s="2"/>
      <c r="L54" s="2"/>
      <c r="M54" s="6"/>
      <c r="N54" s="6"/>
      <c r="O54" s="6"/>
      <c r="P54" s="6"/>
      <c r="Q54" s="6"/>
      <c r="R54" s="6"/>
      <c r="S54" s="6"/>
      <c r="T54" s="6"/>
    </row>
    <row r="55" spans="1:20" x14ac:dyDescent="0.35">
      <c r="A55" s="2">
        <v>3</v>
      </c>
      <c r="B55" s="2" t="s">
        <v>25</v>
      </c>
      <c r="C55" s="2" t="s">
        <v>14</v>
      </c>
      <c r="D55" s="2" t="s">
        <v>23</v>
      </c>
      <c r="E55" s="2">
        <f>H51+50</f>
        <v>1050</v>
      </c>
      <c r="F55" s="2">
        <v>75</v>
      </c>
      <c r="G55" s="2">
        <v>16</v>
      </c>
      <c r="H55" s="2">
        <v>3</v>
      </c>
      <c r="I55" s="2">
        <f t="shared" si="2"/>
        <v>0.13348944020722686</v>
      </c>
      <c r="J55" s="2"/>
      <c r="K55" s="2"/>
      <c r="L55" s="2"/>
      <c r="M55" s="6"/>
      <c r="N55" s="6"/>
      <c r="O55" s="6"/>
      <c r="P55" s="6"/>
      <c r="Q55" s="6"/>
      <c r="R55" s="6"/>
      <c r="S55" s="6"/>
      <c r="T55" s="6"/>
    </row>
    <row r="56" spans="1:20" x14ac:dyDescent="0.35">
      <c r="A56" s="2">
        <v>4</v>
      </c>
      <c r="B56" s="2" t="s">
        <v>25</v>
      </c>
      <c r="C56" s="2" t="s">
        <v>14</v>
      </c>
      <c r="D56" s="2" t="s">
        <v>24</v>
      </c>
      <c r="E56" s="2">
        <v>100</v>
      </c>
      <c r="F56" s="2">
        <v>75</v>
      </c>
      <c r="G56" s="2">
        <v>95</v>
      </c>
      <c r="H56" s="2">
        <v>9</v>
      </c>
      <c r="I56" s="2">
        <f t="shared" si="2"/>
        <v>0.2264553003515456</v>
      </c>
      <c r="J56" s="2"/>
      <c r="K56" s="2"/>
      <c r="L56" s="2"/>
      <c r="M56" s="6"/>
      <c r="N56" s="6"/>
      <c r="O56" s="6"/>
      <c r="P56" s="6"/>
      <c r="Q56" s="6"/>
      <c r="R56" s="6"/>
      <c r="S56" s="6"/>
      <c r="T56" s="6"/>
    </row>
    <row r="57" spans="1:20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6"/>
      <c r="N57" s="6"/>
      <c r="O57" s="6"/>
      <c r="P57" s="6"/>
      <c r="Q57" s="6"/>
      <c r="R57" s="6"/>
      <c r="S57" s="6"/>
      <c r="T57" s="6"/>
    </row>
    <row r="58" spans="1:20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6"/>
      <c r="N58" s="6"/>
      <c r="O58" s="6"/>
      <c r="P58" s="6"/>
      <c r="Q58" s="6"/>
      <c r="R58" s="6"/>
      <c r="S58" s="6"/>
      <c r="T58" s="6"/>
    </row>
    <row r="59" spans="1:20" ht="15.5" x14ac:dyDescent="0.35">
      <c r="A59" s="3"/>
      <c r="B59" s="3"/>
      <c r="C59" s="3"/>
      <c r="D59" s="3"/>
      <c r="E59" s="3"/>
      <c r="F59" s="3"/>
      <c r="G59" s="3"/>
      <c r="H59" s="3"/>
      <c r="I59" s="4">
        <f>SUM(I53:I58)</f>
        <v>0.81126618125939665</v>
      </c>
      <c r="J59" s="4">
        <f>J53+I59</f>
        <v>0.89239279938533633</v>
      </c>
      <c r="K59" s="4">
        <f>J59*K53</f>
        <v>825.46333943143611</v>
      </c>
      <c r="L59" s="4">
        <f>J59*L53</f>
        <v>133.85891990780044</v>
      </c>
      <c r="M59" s="4">
        <f>J59*M53</f>
        <v>26.771783981560091</v>
      </c>
      <c r="N59" s="4">
        <f>J59*N53</f>
        <v>53.543567963120182</v>
      </c>
      <c r="O59" s="4">
        <f>J59*O53</f>
        <v>8.9239279938533631</v>
      </c>
      <c r="P59" s="4">
        <f>J59*P53</f>
        <v>4.4619639969266816</v>
      </c>
      <c r="Q59" s="4">
        <f>J59*Q53</f>
        <v>17.847855987706726</v>
      </c>
      <c r="R59" s="4">
        <f>SUM(K59:Q59)</f>
        <v>1070.8713592624035</v>
      </c>
      <c r="S59" s="4">
        <f>R59*S53</f>
        <v>214.17427185248073</v>
      </c>
      <c r="T59" s="5">
        <f>R59+S59</f>
        <v>1285.0456311148841</v>
      </c>
    </row>
    <row r="71" spans="1:20" ht="18.5" x14ac:dyDescent="0.45">
      <c r="A71" s="11">
        <v>6</v>
      </c>
      <c r="B71" s="1"/>
      <c r="C71" s="1"/>
      <c r="D71" s="1"/>
      <c r="E71" s="1"/>
      <c r="F71" s="1"/>
      <c r="G71" s="1">
        <v>25.4</v>
      </c>
      <c r="H71" s="12">
        <v>1150</v>
      </c>
      <c r="I71" s="13">
        <v>950</v>
      </c>
      <c r="J71" s="13">
        <v>150</v>
      </c>
      <c r="K71" s="9">
        <v>22</v>
      </c>
      <c r="L71" s="9"/>
      <c r="M71" s="10"/>
      <c r="N71" s="1"/>
      <c r="O71" s="1"/>
      <c r="P71" s="1"/>
      <c r="Q71" s="1"/>
      <c r="R71" s="1"/>
      <c r="S71" s="1"/>
      <c r="T71" s="1"/>
    </row>
    <row r="72" spans="1:20" ht="15.5" x14ac:dyDescent="0.35">
      <c r="A72" s="4" t="s">
        <v>4</v>
      </c>
      <c r="B72" s="4" t="s">
        <v>5</v>
      </c>
      <c r="C72" s="4" t="s">
        <v>6</v>
      </c>
      <c r="D72" s="4" t="s">
        <v>15</v>
      </c>
      <c r="E72" s="4" t="s">
        <v>7</v>
      </c>
      <c r="F72" s="4" t="s">
        <v>16</v>
      </c>
      <c r="G72" s="4" t="s">
        <v>17</v>
      </c>
      <c r="H72" s="4" t="s">
        <v>1</v>
      </c>
      <c r="I72" s="4" t="s">
        <v>8</v>
      </c>
      <c r="J72" s="4" t="s">
        <v>18</v>
      </c>
      <c r="K72" s="4" t="s">
        <v>9</v>
      </c>
      <c r="L72" s="4" t="s">
        <v>10</v>
      </c>
      <c r="M72" s="4" t="s">
        <v>11</v>
      </c>
      <c r="N72" s="4" t="s">
        <v>3</v>
      </c>
      <c r="O72" s="4" t="s">
        <v>20</v>
      </c>
      <c r="P72" s="4" t="s">
        <v>19</v>
      </c>
      <c r="Q72" s="4" t="s">
        <v>21</v>
      </c>
      <c r="R72" s="4" t="s">
        <v>0</v>
      </c>
      <c r="S72" s="4" t="s">
        <v>12</v>
      </c>
      <c r="T72" s="4" t="s">
        <v>13</v>
      </c>
    </row>
    <row r="73" spans="1:20" x14ac:dyDescent="0.35">
      <c r="A73" s="2">
        <v>1</v>
      </c>
      <c r="B73" s="2" t="s">
        <v>25</v>
      </c>
      <c r="C73" s="2" t="s">
        <v>14</v>
      </c>
      <c r="D73" s="2" t="s">
        <v>2</v>
      </c>
      <c r="E73" s="2">
        <f>H71+50</f>
        <v>1200</v>
      </c>
      <c r="F73" s="2">
        <v>75</v>
      </c>
      <c r="G73" s="2">
        <v>16</v>
      </c>
      <c r="H73" s="2">
        <v>7</v>
      </c>
      <c r="I73" s="2">
        <f t="shared" ref="I73:I78" si="3">E73*F73*G73*H73/304.8/304.8/304.8</f>
        <v>0.35597184055260495</v>
      </c>
      <c r="J73" s="2">
        <f>I81*10%</f>
        <v>8.0754489825361972E-2</v>
      </c>
      <c r="K73" s="2">
        <v>925</v>
      </c>
      <c r="L73" s="2">
        <v>150</v>
      </c>
      <c r="M73" s="6">
        <v>30</v>
      </c>
      <c r="N73" s="6">
        <v>55</v>
      </c>
      <c r="O73" s="6">
        <v>10</v>
      </c>
      <c r="P73" s="6">
        <v>5</v>
      </c>
      <c r="Q73" s="6">
        <v>20</v>
      </c>
      <c r="R73" s="6"/>
      <c r="S73" s="7">
        <v>0.2</v>
      </c>
      <c r="T73" s="6"/>
    </row>
    <row r="74" spans="1:20" x14ac:dyDescent="0.35">
      <c r="A74" s="2">
        <v>1</v>
      </c>
      <c r="B74" s="2" t="s">
        <v>25</v>
      </c>
      <c r="C74" s="2" t="s">
        <v>14</v>
      </c>
      <c r="D74" s="2" t="s">
        <v>2</v>
      </c>
      <c r="E74" s="2">
        <f>I71+50</f>
        <v>1000</v>
      </c>
      <c r="F74" s="2">
        <v>75</v>
      </c>
      <c r="G74" s="2">
        <v>16</v>
      </c>
      <c r="H74" s="2">
        <v>3</v>
      </c>
      <c r="I74" s="2">
        <f t="shared" si="3"/>
        <v>0.1271328001973589</v>
      </c>
      <c r="J74" s="2"/>
      <c r="K74" s="2"/>
      <c r="L74" s="2"/>
      <c r="M74" s="6"/>
      <c r="N74" s="6"/>
      <c r="O74" s="6"/>
      <c r="P74" s="6"/>
      <c r="Q74" s="6"/>
      <c r="R74" s="6"/>
      <c r="S74" s="7"/>
      <c r="T74" s="6"/>
    </row>
    <row r="75" spans="1:20" x14ac:dyDescent="0.35">
      <c r="A75" s="2">
        <v>2</v>
      </c>
      <c r="B75" s="2" t="s">
        <v>25</v>
      </c>
      <c r="C75" s="2" t="s">
        <v>14</v>
      </c>
      <c r="D75" s="2" t="s">
        <v>22</v>
      </c>
      <c r="E75" s="2">
        <f>I71+50</f>
        <v>1000</v>
      </c>
      <c r="F75" s="2">
        <v>75</v>
      </c>
      <c r="G75" s="2">
        <v>16</v>
      </c>
      <c r="H75" s="2">
        <v>2</v>
      </c>
      <c r="I75" s="2">
        <f t="shared" si="3"/>
        <v>8.4755200131572603E-2</v>
      </c>
      <c r="J75" s="2"/>
      <c r="K75" s="2"/>
      <c r="L75" s="2"/>
      <c r="M75" s="6"/>
      <c r="N75" s="6"/>
      <c r="O75" s="6"/>
      <c r="P75" s="6"/>
      <c r="Q75" s="6"/>
      <c r="R75" s="6"/>
      <c r="S75" s="6"/>
      <c r="T75" s="6"/>
    </row>
    <row r="76" spans="1:20" x14ac:dyDescent="0.35">
      <c r="A76" s="2">
        <v>3</v>
      </c>
      <c r="B76" s="2" t="s">
        <v>25</v>
      </c>
      <c r="C76" s="2" t="s">
        <v>14</v>
      </c>
      <c r="D76" s="2" t="s">
        <v>23</v>
      </c>
      <c r="E76" s="2">
        <f>H71+50</f>
        <v>1200</v>
      </c>
      <c r="F76" s="2">
        <v>75</v>
      </c>
      <c r="G76" s="2">
        <v>16</v>
      </c>
      <c r="H76" s="2">
        <v>3</v>
      </c>
      <c r="I76" s="2">
        <f t="shared" si="3"/>
        <v>0.15255936023683067</v>
      </c>
      <c r="J76" s="2"/>
      <c r="K76" s="2"/>
      <c r="L76" s="2"/>
      <c r="M76" s="6"/>
      <c r="N76" s="6"/>
      <c r="O76" s="6"/>
      <c r="P76" s="6"/>
      <c r="Q76" s="6"/>
      <c r="R76" s="6"/>
      <c r="S76" s="6"/>
      <c r="T76" s="6"/>
    </row>
    <row r="77" spans="1:20" x14ac:dyDescent="0.35">
      <c r="A77" s="2">
        <v>4</v>
      </c>
      <c r="B77" s="2" t="s">
        <v>25</v>
      </c>
      <c r="C77" s="2" t="s">
        <v>14</v>
      </c>
      <c r="D77" s="2" t="s">
        <v>24</v>
      </c>
      <c r="E77" s="2">
        <v>120</v>
      </c>
      <c r="F77" s="2">
        <v>75</v>
      </c>
      <c r="G77" s="2">
        <v>16</v>
      </c>
      <c r="H77" s="2">
        <v>6</v>
      </c>
      <c r="I77" s="2">
        <f t="shared" si="3"/>
        <v>3.0511872047366141E-2</v>
      </c>
      <c r="J77" s="2"/>
      <c r="K77" s="2"/>
      <c r="L77" s="2"/>
      <c r="M77" s="6"/>
      <c r="N77" s="6"/>
      <c r="O77" s="6"/>
      <c r="P77" s="6"/>
      <c r="Q77" s="6"/>
      <c r="R77" s="6"/>
      <c r="S77" s="6"/>
      <c r="T77" s="6"/>
    </row>
    <row r="78" spans="1:20" x14ac:dyDescent="0.35">
      <c r="A78" s="2">
        <v>4</v>
      </c>
      <c r="B78" s="2" t="s">
        <v>25</v>
      </c>
      <c r="C78" s="2" t="s">
        <v>14</v>
      </c>
      <c r="D78" s="2" t="s">
        <v>24</v>
      </c>
      <c r="E78" s="2">
        <v>75</v>
      </c>
      <c r="F78" s="2">
        <v>75</v>
      </c>
      <c r="G78" s="2">
        <v>95</v>
      </c>
      <c r="H78" s="2">
        <v>3</v>
      </c>
      <c r="I78" s="2">
        <f t="shared" si="3"/>
        <v>5.6613825087886399E-2</v>
      </c>
      <c r="J78" s="2"/>
      <c r="K78" s="2"/>
      <c r="L78" s="2"/>
      <c r="M78" s="6"/>
      <c r="N78" s="6"/>
      <c r="O78" s="6"/>
      <c r="P78" s="6"/>
      <c r="Q78" s="6"/>
      <c r="R78" s="6"/>
      <c r="S78" s="6"/>
      <c r="T78" s="6"/>
    </row>
    <row r="79" spans="1:20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6"/>
      <c r="N79" s="6"/>
      <c r="O79" s="6"/>
      <c r="P79" s="6"/>
      <c r="Q79" s="6"/>
      <c r="R79" s="6"/>
      <c r="S79" s="6"/>
      <c r="T79" s="6"/>
    </row>
    <row r="80" spans="1:20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6"/>
      <c r="N80" s="6"/>
      <c r="O80" s="6"/>
      <c r="P80" s="6"/>
      <c r="Q80" s="6"/>
      <c r="R80" s="6"/>
      <c r="S80" s="6"/>
      <c r="T80" s="6"/>
    </row>
    <row r="81" spans="1:20" ht="15.5" x14ac:dyDescent="0.35">
      <c r="A81" s="3"/>
      <c r="B81" s="3"/>
      <c r="C81" s="3"/>
      <c r="D81" s="3"/>
      <c r="E81" s="3"/>
      <c r="F81" s="3"/>
      <c r="G81" s="3"/>
      <c r="H81" s="3"/>
      <c r="I81" s="4">
        <f>SUM(I73:I80)</f>
        <v>0.80754489825361964</v>
      </c>
      <c r="J81" s="4">
        <f>J73+I81</f>
        <v>0.88829938807898157</v>
      </c>
      <c r="K81" s="4">
        <f>J81*K73</f>
        <v>821.676933973058</v>
      </c>
      <c r="L81" s="4">
        <f>J81*L73</f>
        <v>133.24490821184725</v>
      </c>
      <c r="M81" s="4">
        <f>J81*M73</f>
        <v>26.648981642369446</v>
      </c>
      <c r="N81" s="4">
        <f>J81*N73</f>
        <v>48.856466344343985</v>
      </c>
      <c r="O81" s="4">
        <f>J81*O73</f>
        <v>8.8829938807898152</v>
      </c>
      <c r="P81" s="4">
        <f>J81*P73</f>
        <v>4.4414969403949076</v>
      </c>
      <c r="Q81" s="4">
        <f>J81*Q73</f>
        <v>17.76598776157963</v>
      </c>
      <c r="R81" s="4">
        <f>SUM(K81:Q81)</f>
        <v>1061.5177687543833</v>
      </c>
      <c r="S81" s="4">
        <f>R81*S73</f>
        <v>212.30355375087666</v>
      </c>
      <c r="T81" s="5">
        <f>R81+S81</f>
        <v>1273.82132250526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9E1E-8ACE-40E1-AE93-46D48E63C2FF}">
  <dimension ref="A6:T79"/>
  <sheetViews>
    <sheetView tabSelected="1" workbookViewId="0">
      <selection activeCell="E17" sqref="E17"/>
    </sheetView>
  </sheetViews>
  <sheetFormatPr defaultRowHeight="14.5" x14ac:dyDescent="0.35"/>
  <cols>
    <col min="1" max="1" width="10.453125" customWidth="1"/>
    <col min="2" max="2" width="12" customWidth="1"/>
    <col min="3" max="3" width="12.7265625" customWidth="1"/>
    <col min="4" max="4" width="10.453125" customWidth="1"/>
    <col min="9" max="9" width="10.7265625" customWidth="1"/>
    <col min="10" max="10" width="11.453125" customWidth="1"/>
    <col min="11" max="11" width="11.7265625" customWidth="1"/>
    <col min="12" max="12" width="10.1796875" customWidth="1"/>
    <col min="14" max="14" width="13.1796875" customWidth="1"/>
    <col min="15" max="15" width="14" customWidth="1"/>
    <col min="19" max="20" width="13.7265625" customWidth="1"/>
  </cols>
  <sheetData>
    <row r="6" spans="1:20" ht="18.5" x14ac:dyDescent="0.45">
      <c r="A6" s="11">
        <v>1</v>
      </c>
      <c r="B6" s="1"/>
      <c r="C6" s="1"/>
      <c r="D6" s="1"/>
      <c r="E6" s="1"/>
      <c r="F6" s="1"/>
      <c r="G6" s="1">
        <v>25.4</v>
      </c>
      <c r="H6" s="8">
        <v>900</v>
      </c>
      <c r="I6" s="9">
        <v>1050</v>
      </c>
      <c r="J6" s="9">
        <v>130</v>
      </c>
      <c r="K6" s="9">
        <v>17</v>
      </c>
      <c r="L6" s="9"/>
      <c r="M6" s="10"/>
      <c r="N6" s="1"/>
      <c r="O6" s="1"/>
      <c r="P6" s="1"/>
      <c r="Q6" s="1"/>
      <c r="R6" s="1"/>
      <c r="S6" s="1"/>
      <c r="T6" s="1"/>
    </row>
    <row r="7" spans="1:20" ht="15.5" x14ac:dyDescent="0.35">
      <c r="A7" s="4" t="s">
        <v>4</v>
      </c>
      <c r="B7" s="4" t="s">
        <v>5</v>
      </c>
      <c r="C7" s="4" t="s">
        <v>6</v>
      </c>
      <c r="D7" s="4" t="s">
        <v>15</v>
      </c>
      <c r="E7" s="4" t="s">
        <v>7</v>
      </c>
      <c r="F7" s="4" t="s">
        <v>16</v>
      </c>
      <c r="G7" s="4" t="s">
        <v>17</v>
      </c>
      <c r="H7" s="4" t="s">
        <v>1</v>
      </c>
      <c r="I7" s="4" t="s">
        <v>8</v>
      </c>
      <c r="J7" s="4" t="s">
        <v>18</v>
      </c>
      <c r="K7" s="4" t="s">
        <v>9</v>
      </c>
      <c r="L7" s="4" t="s">
        <v>10</v>
      </c>
      <c r="M7" s="4" t="s">
        <v>11</v>
      </c>
      <c r="N7" s="4" t="s">
        <v>3</v>
      </c>
      <c r="O7" s="4" t="s">
        <v>20</v>
      </c>
      <c r="P7" s="4" t="s">
        <v>19</v>
      </c>
      <c r="Q7" s="4" t="s">
        <v>21</v>
      </c>
      <c r="R7" s="4" t="s">
        <v>0</v>
      </c>
      <c r="S7" s="4" t="s">
        <v>12</v>
      </c>
      <c r="T7" s="4" t="s">
        <v>13</v>
      </c>
    </row>
    <row r="8" spans="1:20" x14ac:dyDescent="0.35">
      <c r="A8" s="2">
        <v>1</v>
      </c>
      <c r="B8" s="2" t="s">
        <v>25</v>
      </c>
      <c r="C8" s="2" t="s">
        <v>14</v>
      </c>
      <c r="D8" s="2" t="s">
        <v>2</v>
      </c>
      <c r="E8" s="2">
        <f>H6+50</f>
        <v>950</v>
      </c>
      <c r="F8" s="2">
        <v>75</v>
      </c>
      <c r="G8" s="2">
        <v>16</v>
      </c>
      <c r="H8" s="2">
        <v>7</v>
      </c>
      <c r="I8" s="2">
        <f t="shared" ref="I8:I11" si="0">E8*F8*G8*H8/304.8/304.8/304.8</f>
        <v>0.2818110404374789</v>
      </c>
      <c r="J8" s="2">
        <f>I14*10%</f>
        <v>7.1906841511627018E-2</v>
      </c>
      <c r="K8" s="2">
        <v>925</v>
      </c>
      <c r="L8" s="2">
        <v>150</v>
      </c>
      <c r="M8" s="6">
        <v>30</v>
      </c>
      <c r="N8" s="6">
        <v>65</v>
      </c>
      <c r="O8" s="6">
        <v>10</v>
      </c>
      <c r="P8" s="6">
        <v>5</v>
      </c>
      <c r="Q8" s="6">
        <v>20</v>
      </c>
      <c r="R8" s="6"/>
      <c r="S8" s="7">
        <v>0.2</v>
      </c>
      <c r="T8" s="6"/>
    </row>
    <row r="9" spans="1:20" x14ac:dyDescent="0.35">
      <c r="A9" s="2">
        <v>2</v>
      </c>
      <c r="B9" s="2" t="s">
        <v>25</v>
      </c>
      <c r="C9" s="2" t="s">
        <v>14</v>
      </c>
      <c r="D9" s="2" t="s">
        <v>22</v>
      </c>
      <c r="E9" s="2">
        <f>I6+50</f>
        <v>1100</v>
      </c>
      <c r="F9" s="2">
        <v>75</v>
      </c>
      <c r="G9" s="2">
        <v>16</v>
      </c>
      <c r="H9" s="2">
        <v>3</v>
      </c>
      <c r="I9" s="2">
        <f t="shared" si="0"/>
        <v>0.1398460802170948</v>
      </c>
      <c r="J9" s="2"/>
      <c r="K9" s="2"/>
      <c r="L9" s="2"/>
      <c r="M9" s="6"/>
      <c r="N9" s="6"/>
      <c r="O9" s="6"/>
      <c r="P9" s="6"/>
      <c r="Q9" s="6"/>
      <c r="R9" s="6"/>
      <c r="S9" s="6"/>
      <c r="T9" s="6"/>
    </row>
    <row r="10" spans="1:20" x14ac:dyDescent="0.35">
      <c r="A10" s="2">
        <v>3</v>
      </c>
      <c r="B10" s="2" t="s">
        <v>25</v>
      </c>
      <c r="C10" s="2" t="s">
        <v>14</v>
      </c>
      <c r="D10" s="2" t="s">
        <v>23</v>
      </c>
      <c r="E10" s="2">
        <f>H6+50</f>
        <v>950</v>
      </c>
      <c r="F10" s="2">
        <v>75</v>
      </c>
      <c r="G10" s="2">
        <v>16</v>
      </c>
      <c r="H10" s="2">
        <v>3</v>
      </c>
      <c r="I10" s="2">
        <f t="shared" si="0"/>
        <v>0.12077616018749096</v>
      </c>
      <c r="J10" s="2"/>
      <c r="K10" s="2"/>
      <c r="L10" s="2"/>
      <c r="M10" s="6"/>
      <c r="N10" s="6"/>
      <c r="O10" s="6"/>
      <c r="P10" s="6"/>
      <c r="Q10" s="6"/>
      <c r="R10" s="6"/>
      <c r="S10" s="6"/>
      <c r="T10" s="6"/>
    </row>
    <row r="11" spans="1:20" x14ac:dyDescent="0.35">
      <c r="A11" s="2">
        <v>4</v>
      </c>
      <c r="B11" s="2" t="s">
        <v>25</v>
      </c>
      <c r="C11" s="2" t="s">
        <v>14</v>
      </c>
      <c r="D11" s="2" t="s">
        <v>24</v>
      </c>
      <c r="E11" s="2">
        <v>78</v>
      </c>
      <c r="F11" s="2">
        <v>75</v>
      </c>
      <c r="G11" s="2">
        <v>95</v>
      </c>
      <c r="H11" s="2">
        <v>9</v>
      </c>
      <c r="I11" s="2">
        <f t="shared" si="0"/>
        <v>0.17663513427420552</v>
      </c>
      <c r="J11" s="2"/>
      <c r="K11" s="2"/>
      <c r="L11" s="2"/>
      <c r="M11" s="6"/>
      <c r="N11" s="6"/>
      <c r="O11" s="6"/>
      <c r="P11" s="6"/>
      <c r="Q11" s="6"/>
      <c r="R11" s="6"/>
      <c r="S11" s="6"/>
      <c r="T11" s="6"/>
    </row>
    <row r="12" spans="1:2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6"/>
      <c r="N12" s="6"/>
      <c r="O12" s="6"/>
      <c r="P12" s="6"/>
      <c r="Q12" s="6"/>
      <c r="R12" s="6"/>
      <c r="S12" s="6"/>
      <c r="T12" s="6"/>
    </row>
    <row r="13" spans="1:2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6"/>
      <c r="N13" s="6"/>
      <c r="O13" s="6"/>
      <c r="P13" s="6"/>
      <c r="Q13" s="6"/>
      <c r="R13" s="6"/>
      <c r="S13" s="6"/>
      <c r="T13" s="6"/>
    </row>
    <row r="14" spans="1:20" ht="15.5" x14ac:dyDescent="0.35">
      <c r="A14" s="3"/>
      <c r="B14" s="3"/>
      <c r="C14" s="3"/>
      <c r="D14" s="3"/>
      <c r="E14" s="3"/>
      <c r="F14" s="3"/>
      <c r="G14" s="3"/>
      <c r="H14" s="3"/>
      <c r="I14" s="4">
        <f>SUM(I8:I13)</f>
        <v>0.71906841511627018</v>
      </c>
      <c r="J14" s="4">
        <f>J8+I14</f>
        <v>0.79097525662789714</v>
      </c>
      <c r="K14" s="4">
        <f>J14*K8</f>
        <v>731.65211238080485</v>
      </c>
      <c r="L14" s="4">
        <f>J14*L8</f>
        <v>118.64628849418457</v>
      </c>
      <c r="M14" s="4">
        <f>J14*M8</f>
        <v>23.729257698836914</v>
      </c>
      <c r="N14" s="4">
        <f>J14*N8</f>
        <v>51.413391680813312</v>
      </c>
      <c r="O14" s="4">
        <f>J14*O8</f>
        <v>7.9097525662789714</v>
      </c>
      <c r="P14" s="4">
        <f>J14*P8</f>
        <v>3.9548762831394857</v>
      </c>
      <c r="Q14" s="4">
        <f>J14*Q8</f>
        <v>15.819505132557943</v>
      </c>
      <c r="R14" s="4">
        <f>SUM(K14:Q14)</f>
        <v>953.12518423661606</v>
      </c>
      <c r="S14" s="4">
        <f>R14*S8</f>
        <v>190.62503684732323</v>
      </c>
      <c r="T14" s="5">
        <f>R14+S14</f>
        <v>1143.7502210839393</v>
      </c>
    </row>
    <row r="20" spans="1:20" ht="18.5" x14ac:dyDescent="0.45">
      <c r="A20" s="11">
        <v>2</v>
      </c>
      <c r="B20" s="1"/>
      <c r="C20" s="1"/>
      <c r="D20" s="1"/>
      <c r="E20" s="1"/>
      <c r="F20" s="1"/>
      <c r="G20" s="1">
        <v>25.4</v>
      </c>
      <c r="H20" s="8">
        <v>900</v>
      </c>
      <c r="I20" s="9">
        <v>1100</v>
      </c>
      <c r="J20" s="9">
        <v>130</v>
      </c>
      <c r="K20" s="9">
        <v>17</v>
      </c>
      <c r="L20" s="9"/>
      <c r="M20" s="10"/>
      <c r="N20" s="1"/>
      <c r="O20" s="1"/>
      <c r="P20" s="1"/>
      <c r="Q20" s="1"/>
      <c r="R20" s="1"/>
      <c r="S20" s="1"/>
      <c r="T20" s="1"/>
    </row>
    <row r="21" spans="1:20" ht="15.5" x14ac:dyDescent="0.35">
      <c r="A21" s="4" t="s">
        <v>4</v>
      </c>
      <c r="B21" s="4" t="s">
        <v>5</v>
      </c>
      <c r="C21" s="4" t="s">
        <v>6</v>
      </c>
      <c r="D21" s="4" t="s">
        <v>15</v>
      </c>
      <c r="E21" s="4" t="s">
        <v>7</v>
      </c>
      <c r="F21" s="4" t="s">
        <v>16</v>
      </c>
      <c r="G21" s="4" t="s">
        <v>17</v>
      </c>
      <c r="H21" s="4" t="s">
        <v>1</v>
      </c>
      <c r="I21" s="4" t="s">
        <v>8</v>
      </c>
      <c r="J21" s="4" t="s">
        <v>18</v>
      </c>
      <c r="K21" s="4" t="s">
        <v>9</v>
      </c>
      <c r="L21" s="4" t="s">
        <v>10</v>
      </c>
      <c r="M21" s="4" t="s">
        <v>11</v>
      </c>
      <c r="N21" s="4" t="s">
        <v>3</v>
      </c>
      <c r="O21" s="4" t="s">
        <v>20</v>
      </c>
      <c r="P21" s="4" t="s">
        <v>19</v>
      </c>
      <c r="Q21" s="4" t="s">
        <v>21</v>
      </c>
      <c r="R21" s="4" t="s">
        <v>0</v>
      </c>
      <c r="S21" s="4" t="s">
        <v>12</v>
      </c>
      <c r="T21" s="4" t="s">
        <v>13</v>
      </c>
    </row>
    <row r="22" spans="1:20" x14ac:dyDescent="0.35">
      <c r="A22" s="2">
        <v>1</v>
      </c>
      <c r="B22" s="2" t="s">
        <v>25</v>
      </c>
      <c r="C22" s="2" t="s">
        <v>14</v>
      </c>
      <c r="D22" s="2" t="s">
        <v>2</v>
      </c>
      <c r="E22" s="2">
        <f>H20+50</f>
        <v>950</v>
      </c>
      <c r="F22" s="2">
        <v>75</v>
      </c>
      <c r="G22" s="2">
        <v>16</v>
      </c>
      <c r="H22" s="2">
        <v>7</v>
      </c>
      <c r="I22" s="2">
        <f t="shared" ref="I22:I25" si="1">E22*F22*G22*H22/304.8/304.8/304.8</f>
        <v>0.2818110404374789</v>
      </c>
      <c r="J22" s="2">
        <f>I28*10%</f>
        <v>7.2542505512613806E-2</v>
      </c>
      <c r="K22" s="2">
        <v>925</v>
      </c>
      <c r="L22" s="2">
        <v>150</v>
      </c>
      <c r="M22" s="6">
        <v>30</v>
      </c>
      <c r="N22" s="6">
        <v>65</v>
      </c>
      <c r="O22" s="6">
        <v>10</v>
      </c>
      <c r="P22" s="6">
        <v>5</v>
      </c>
      <c r="Q22" s="6">
        <v>20</v>
      </c>
      <c r="R22" s="6"/>
      <c r="S22" s="7">
        <v>0.2</v>
      </c>
      <c r="T22" s="6"/>
    </row>
    <row r="23" spans="1:20" x14ac:dyDescent="0.35">
      <c r="A23" s="2">
        <v>2</v>
      </c>
      <c r="B23" s="2" t="s">
        <v>25</v>
      </c>
      <c r="C23" s="2" t="s">
        <v>14</v>
      </c>
      <c r="D23" s="2" t="s">
        <v>22</v>
      </c>
      <c r="E23" s="2">
        <f>I20+50</f>
        <v>1150</v>
      </c>
      <c r="F23" s="2">
        <v>75</v>
      </c>
      <c r="G23" s="2">
        <v>16</v>
      </c>
      <c r="H23" s="2">
        <v>3</v>
      </c>
      <c r="I23" s="2">
        <f t="shared" si="1"/>
        <v>0.14620272022696276</v>
      </c>
      <c r="J23" s="2"/>
      <c r="K23" s="2"/>
      <c r="L23" s="2"/>
      <c r="M23" s="6"/>
      <c r="N23" s="6"/>
      <c r="O23" s="6"/>
      <c r="P23" s="6"/>
      <c r="Q23" s="6"/>
      <c r="R23" s="6"/>
      <c r="S23" s="6"/>
      <c r="T23" s="6"/>
    </row>
    <row r="24" spans="1:20" x14ac:dyDescent="0.35">
      <c r="A24" s="2">
        <v>3</v>
      </c>
      <c r="B24" s="2" t="s">
        <v>25</v>
      </c>
      <c r="C24" s="2" t="s">
        <v>14</v>
      </c>
      <c r="D24" s="2" t="s">
        <v>23</v>
      </c>
      <c r="E24" s="2">
        <f>H20+50</f>
        <v>950</v>
      </c>
      <c r="F24" s="2">
        <v>75</v>
      </c>
      <c r="G24" s="2">
        <v>16</v>
      </c>
      <c r="H24" s="2">
        <v>3</v>
      </c>
      <c r="I24" s="2">
        <f t="shared" si="1"/>
        <v>0.12077616018749096</v>
      </c>
      <c r="J24" s="2"/>
      <c r="K24" s="2"/>
      <c r="L24" s="2"/>
      <c r="M24" s="6"/>
      <c r="N24" s="6"/>
      <c r="O24" s="6"/>
      <c r="P24" s="6"/>
      <c r="Q24" s="6"/>
      <c r="R24" s="6"/>
      <c r="S24" s="6"/>
      <c r="T24" s="6"/>
    </row>
    <row r="25" spans="1:20" x14ac:dyDescent="0.35">
      <c r="A25" s="2">
        <v>4</v>
      </c>
      <c r="B25" s="2" t="s">
        <v>25</v>
      </c>
      <c r="C25" s="2" t="s">
        <v>14</v>
      </c>
      <c r="D25" s="2" t="s">
        <v>24</v>
      </c>
      <c r="E25" s="2">
        <v>78</v>
      </c>
      <c r="F25" s="2">
        <v>75</v>
      </c>
      <c r="G25" s="2">
        <v>95</v>
      </c>
      <c r="H25" s="2">
        <v>9</v>
      </c>
      <c r="I25" s="2">
        <f t="shared" si="1"/>
        <v>0.17663513427420552</v>
      </c>
      <c r="J25" s="2"/>
      <c r="K25" s="2"/>
      <c r="L25" s="2"/>
      <c r="M25" s="6"/>
      <c r="N25" s="6"/>
      <c r="O25" s="6"/>
      <c r="P25" s="6"/>
      <c r="Q25" s="6"/>
      <c r="R25" s="6"/>
      <c r="S25" s="6"/>
      <c r="T25" s="6"/>
    </row>
    <row r="26" spans="1:2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"/>
      <c r="N26" s="6"/>
      <c r="O26" s="6"/>
      <c r="P26" s="6"/>
      <c r="Q26" s="6"/>
      <c r="R26" s="6"/>
      <c r="S26" s="6"/>
      <c r="T26" s="6"/>
    </row>
    <row r="27" spans="1:2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"/>
      <c r="N27" s="6"/>
      <c r="O27" s="6"/>
      <c r="P27" s="6"/>
      <c r="Q27" s="6"/>
      <c r="R27" s="6"/>
      <c r="S27" s="6"/>
      <c r="T27" s="6"/>
    </row>
    <row r="28" spans="1:20" ht="15.5" x14ac:dyDescent="0.35">
      <c r="A28" s="3"/>
      <c r="B28" s="3"/>
      <c r="C28" s="3"/>
      <c r="D28" s="3"/>
      <c r="E28" s="3"/>
      <c r="F28" s="3"/>
      <c r="G28" s="3"/>
      <c r="H28" s="3"/>
      <c r="I28" s="4">
        <f>SUM(I22:I27)</f>
        <v>0.72542505512613809</v>
      </c>
      <c r="J28" s="4">
        <f>J22+I28</f>
        <v>0.79796756063875185</v>
      </c>
      <c r="K28" s="4">
        <f>J28*K22</f>
        <v>738.11999359084541</v>
      </c>
      <c r="L28" s="4">
        <f>J28*L22</f>
        <v>119.69513409581278</v>
      </c>
      <c r="M28" s="4">
        <f>J28*M22</f>
        <v>23.939026819162557</v>
      </c>
      <c r="N28" s="4">
        <f>J28*N22</f>
        <v>51.867891441518871</v>
      </c>
      <c r="O28" s="4">
        <f>J28*O22</f>
        <v>7.9796756063875183</v>
      </c>
      <c r="P28" s="4">
        <f>J28*P22</f>
        <v>3.9898378031937591</v>
      </c>
      <c r="Q28" s="4">
        <f>J28*Q22</f>
        <v>15.959351212775037</v>
      </c>
      <c r="R28" s="4">
        <f>SUM(K28:Q28)</f>
        <v>961.55091056969593</v>
      </c>
      <c r="S28" s="4">
        <f>R28*S22</f>
        <v>192.31018211393919</v>
      </c>
      <c r="T28" s="5">
        <f>R28+S28</f>
        <v>1153.8610926836352</v>
      </c>
    </row>
    <row r="34" spans="1:20" ht="18.5" x14ac:dyDescent="0.45">
      <c r="A34" s="11">
        <v>3</v>
      </c>
      <c r="B34" s="1"/>
      <c r="C34" s="1"/>
      <c r="D34" s="1"/>
      <c r="E34" s="1"/>
      <c r="F34" s="1"/>
      <c r="G34" s="1">
        <v>25.4</v>
      </c>
      <c r="H34" s="8">
        <v>1000</v>
      </c>
      <c r="I34" s="9">
        <v>1100</v>
      </c>
      <c r="J34" s="9">
        <v>130</v>
      </c>
      <c r="K34" s="9">
        <v>17</v>
      </c>
      <c r="L34" s="9"/>
      <c r="M34" s="10"/>
      <c r="N34" s="1"/>
      <c r="O34" s="1"/>
      <c r="P34" s="1"/>
      <c r="Q34" s="1"/>
      <c r="R34" s="1"/>
      <c r="S34" s="1"/>
      <c r="T34" s="1"/>
    </row>
    <row r="35" spans="1:20" ht="15.5" x14ac:dyDescent="0.35">
      <c r="A35" s="4" t="s">
        <v>4</v>
      </c>
      <c r="B35" s="4" t="s">
        <v>5</v>
      </c>
      <c r="C35" s="4" t="s">
        <v>6</v>
      </c>
      <c r="D35" s="4" t="s">
        <v>15</v>
      </c>
      <c r="E35" s="4" t="s">
        <v>7</v>
      </c>
      <c r="F35" s="4" t="s">
        <v>16</v>
      </c>
      <c r="G35" s="4" t="s">
        <v>17</v>
      </c>
      <c r="H35" s="4" t="s">
        <v>1</v>
      </c>
      <c r="I35" s="4" t="s">
        <v>8</v>
      </c>
      <c r="J35" s="4" t="s">
        <v>18</v>
      </c>
      <c r="K35" s="4" t="s">
        <v>9</v>
      </c>
      <c r="L35" s="4" t="s">
        <v>10</v>
      </c>
      <c r="M35" s="4" t="s">
        <v>11</v>
      </c>
      <c r="N35" s="4" t="s">
        <v>3</v>
      </c>
      <c r="O35" s="4" t="s">
        <v>20</v>
      </c>
      <c r="P35" s="4" t="s">
        <v>19</v>
      </c>
      <c r="Q35" s="4" t="s">
        <v>21</v>
      </c>
      <c r="R35" s="4" t="s">
        <v>0</v>
      </c>
      <c r="S35" s="4" t="s">
        <v>12</v>
      </c>
      <c r="T35" s="4" t="s">
        <v>13</v>
      </c>
    </row>
    <row r="36" spans="1:20" x14ac:dyDescent="0.35">
      <c r="A36" s="2">
        <v>1</v>
      </c>
      <c r="B36" s="2" t="s">
        <v>25</v>
      </c>
      <c r="C36" s="2" t="s">
        <v>14</v>
      </c>
      <c r="D36" s="2" t="s">
        <v>2</v>
      </c>
      <c r="E36" s="2">
        <f>H34+50</f>
        <v>1050</v>
      </c>
      <c r="F36" s="2">
        <v>75</v>
      </c>
      <c r="G36" s="2">
        <v>16</v>
      </c>
      <c r="H36" s="2">
        <v>7</v>
      </c>
      <c r="I36" s="2">
        <f t="shared" ref="I36:I39" si="2">E36*F36*G36*H36/304.8/304.8/304.8</f>
        <v>0.31147536048352936</v>
      </c>
      <c r="J36" s="2">
        <f>I42*10%</f>
        <v>7.6780265519192453E-2</v>
      </c>
      <c r="K36" s="2">
        <v>925</v>
      </c>
      <c r="L36" s="2">
        <v>150</v>
      </c>
      <c r="M36" s="6">
        <v>30</v>
      </c>
      <c r="N36" s="6">
        <v>65</v>
      </c>
      <c r="O36" s="6">
        <v>10</v>
      </c>
      <c r="P36" s="6">
        <v>5</v>
      </c>
      <c r="Q36" s="6">
        <v>20</v>
      </c>
      <c r="R36" s="6"/>
      <c r="S36" s="7">
        <v>0.2</v>
      </c>
      <c r="T36" s="6"/>
    </row>
    <row r="37" spans="1:20" x14ac:dyDescent="0.35">
      <c r="A37" s="2">
        <v>2</v>
      </c>
      <c r="B37" s="2" t="s">
        <v>25</v>
      </c>
      <c r="C37" s="2" t="s">
        <v>14</v>
      </c>
      <c r="D37" s="2" t="s">
        <v>22</v>
      </c>
      <c r="E37" s="2">
        <f>I34+50</f>
        <v>1150</v>
      </c>
      <c r="F37" s="2">
        <v>75</v>
      </c>
      <c r="G37" s="2">
        <v>16</v>
      </c>
      <c r="H37" s="2">
        <v>3</v>
      </c>
      <c r="I37" s="2">
        <f t="shared" si="2"/>
        <v>0.14620272022696276</v>
      </c>
      <c r="J37" s="2"/>
      <c r="K37" s="2"/>
      <c r="L37" s="2"/>
      <c r="M37" s="6"/>
      <c r="N37" s="6"/>
      <c r="O37" s="6"/>
      <c r="P37" s="6"/>
      <c r="Q37" s="6"/>
      <c r="R37" s="6"/>
      <c r="S37" s="6"/>
      <c r="T37" s="6"/>
    </row>
    <row r="38" spans="1:20" x14ac:dyDescent="0.35">
      <c r="A38" s="2">
        <v>3</v>
      </c>
      <c r="B38" s="2" t="s">
        <v>25</v>
      </c>
      <c r="C38" s="2" t="s">
        <v>14</v>
      </c>
      <c r="D38" s="2" t="s">
        <v>23</v>
      </c>
      <c r="E38" s="2">
        <f>H34+50</f>
        <v>1050</v>
      </c>
      <c r="F38" s="2">
        <v>75</v>
      </c>
      <c r="G38" s="2">
        <v>16</v>
      </c>
      <c r="H38" s="2">
        <v>3</v>
      </c>
      <c r="I38" s="2">
        <f t="shared" si="2"/>
        <v>0.13348944020722686</v>
      </c>
      <c r="J38" s="2"/>
      <c r="K38" s="2"/>
      <c r="L38" s="2"/>
      <c r="M38" s="6"/>
      <c r="N38" s="6"/>
      <c r="O38" s="6"/>
      <c r="P38" s="6"/>
      <c r="Q38" s="6"/>
      <c r="R38" s="6"/>
      <c r="S38" s="6"/>
      <c r="T38" s="6"/>
    </row>
    <row r="39" spans="1:20" x14ac:dyDescent="0.35">
      <c r="A39" s="2">
        <v>4</v>
      </c>
      <c r="B39" s="2" t="s">
        <v>25</v>
      </c>
      <c r="C39" s="2" t="s">
        <v>14</v>
      </c>
      <c r="D39" s="2" t="s">
        <v>24</v>
      </c>
      <c r="E39" s="2">
        <v>78</v>
      </c>
      <c r="F39" s="2">
        <v>75</v>
      </c>
      <c r="G39" s="2">
        <v>95</v>
      </c>
      <c r="H39" s="2">
        <v>9</v>
      </c>
      <c r="I39" s="2">
        <f t="shared" si="2"/>
        <v>0.17663513427420552</v>
      </c>
      <c r="J39" s="2"/>
      <c r="K39" s="2"/>
      <c r="L39" s="2"/>
      <c r="M39" s="6"/>
      <c r="N39" s="6"/>
      <c r="O39" s="6"/>
      <c r="P39" s="6"/>
      <c r="Q39" s="6"/>
      <c r="R39" s="6"/>
      <c r="S39" s="6"/>
      <c r="T39" s="6"/>
    </row>
    <row r="40" spans="1:20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6"/>
      <c r="N40" s="6"/>
      <c r="O40" s="6"/>
      <c r="P40" s="6"/>
      <c r="Q40" s="6"/>
      <c r="R40" s="6"/>
      <c r="S40" s="6"/>
      <c r="T40" s="6"/>
    </row>
    <row r="41" spans="1:20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6"/>
      <c r="N41" s="6"/>
      <c r="O41" s="6"/>
      <c r="P41" s="6"/>
      <c r="Q41" s="6"/>
      <c r="R41" s="6"/>
      <c r="S41" s="6"/>
      <c r="T41" s="6"/>
    </row>
    <row r="42" spans="1:20" ht="15.5" x14ac:dyDescent="0.35">
      <c r="A42" s="3"/>
      <c r="B42" s="3"/>
      <c r="C42" s="3"/>
      <c r="D42" s="3"/>
      <c r="E42" s="3"/>
      <c r="F42" s="3"/>
      <c r="G42" s="3"/>
      <c r="H42" s="3"/>
      <c r="I42" s="4">
        <f>SUM(I36:I41)</f>
        <v>0.76780265519192448</v>
      </c>
      <c r="J42" s="4">
        <f>J36+I42</f>
        <v>0.84458292071111696</v>
      </c>
      <c r="K42" s="4">
        <f>J42*K36</f>
        <v>781.23920165778316</v>
      </c>
      <c r="L42" s="4">
        <f>J42*L36</f>
        <v>126.68743810666754</v>
      </c>
      <c r="M42" s="4">
        <f>J42*M36</f>
        <v>25.337487621333509</v>
      </c>
      <c r="N42" s="4">
        <f>J42*N36</f>
        <v>54.897889846222604</v>
      </c>
      <c r="O42" s="4">
        <f>J42*O36</f>
        <v>8.4458292071111689</v>
      </c>
      <c r="P42" s="4">
        <f>J42*P36</f>
        <v>4.2229146035555845</v>
      </c>
      <c r="Q42" s="4">
        <f>J42*Q36</f>
        <v>16.891658414222338</v>
      </c>
      <c r="R42" s="4">
        <f>SUM(K42:Q42)</f>
        <v>1017.7224194568959</v>
      </c>
      <c r="S42" s="4">
        <f>R42*S36</f>
        <v>203.54448389137917</v>
      </c>
      <c r="T42" s="5">
        <f>R42+S42</f>
        <v>1221.266903348275</v>
      </c>
    </row>
    <row r="49" spans="1:20" ht="18.5" x14ac:dyDescent="0.45">
      <c r="A49" s="11">
        <v>4</v>
      </c>
      <c r="B49" s="1"/>
      <c r="C49" s="1"/>
      <c r="D49" s="1"/>
      <c r="E49" s="1"/>
      <c r="F49" s="1"/>
      <c r="G49" s="1">
        <v>25.4</v>
      </c>
      <c r="H49" s="8">
        <v>1100</v>
      </c>
      <c r="I49" s="9">
        <v>900</v>
      </c>
      <c r="J49" s="9">
        <v>130</v>
      </c>
      <c r="K49" s="9">
        <v>17</v>
      </c>
      <c r="L49" s="9"/>
      <c r="M49" s="10"/>
      <c r="N49" s="1"/>
      <c r="O49" s="1"/>
      <c r="P49" s="1"/>
      <c r="Q49" s="1"/>
      <c r="R49" s="1"/>
      <c r="S49" s="1"/>
      <c r="T49" s="1"/>
    </row>
    <row r="50" spans="1:20" ht="15.5" x14ac:dyDescent="0.35">
      <c r="A50" s="4" t="s">
        <v>4</v>
      </c>
      <c r="B50" s="4" t="s">
        <v>5</v>
      </c>
      <c r="C50" s="4" t="s">
        <v>6</v>
      </c>
      <c r="D50" s="4" t="s">
        <v>15</v>
      </c>
      <c r="E50" s="4" t="s">
        <v>7</v>
      </c>
      <c r="F50" s="4" t="s">
        <v>16</v>
      </c>
      <c r="G50" s="4" t="s">
        <v>17</v>
      </c>
      <c r="H50" s="4" t="s">
        <v>1</v>
      </c>
      <c r="I50" s="4" t="s">
        <v>8</v>
      </c>
      <c r="J50" s="4" t="s">
        <v>18</v>
      </c>
      <c r="K50" s="4" t="s">
        <v>9</v>
      </c>
      <c r="L50" s="4" t="s">
        <v>10</v>
      </c>
      <c r="M50" s="4" t="s">
        <v>11</v>
      </c>
      <c r="N50" s="4" t="s">
        <v>3</v>
      </c>
      <c r="O50" s="4" t="s">
        <v>20</v>
      </c>
      <c r="P50" s="4" t="s">
        <v>19</v>
      </c>
      <c r="Q50" s="4" t="s">
        <v>21</v>
      </c>
      <c r="R50" s="4" t="s">
        <v>0</v>
      </c>
      <c r="S50" s="4" t="s">
        <v>12</v>
      </c>
      <c r="T50" s="4" t="s">
        <v>13</v>
      </c>
    </row>
    <row r="51" spans="1:20" x14ac:dyDescent="0.35">
      <c r="A51" s="2">
        <v>1</v>
      </c>
      <c r="B51" s="2" t="s">
        <v>25</v>
      </c>
      <c r="C51" s="2" t="s">
        <v>14</v>
      </c>
      <c r="D51" s="2" t="s">
        <v>2</v>
      </c>
      <c r="E51" s="2">
        <f>H49+50</f>
        <v>1150</v>
      </c>
      <c r="F51" s="2">
        <v>75</v>
      </c>
      <c r="G51" s="2">
        <v>16</v>
      </c>
      <c r="H51" s="2">
        <v>7</v>
      </c>
      <c r="I51" s="2">
        <f t="shared" ref="I51:I54" si="3">E51*F51*G51*H51/304.8/304.8/304.8</f>
        <v>0.34113968052957977</v>
      </c>
      <c r="J51" s="2">
        <f>I57*10%</f>
        <v>7.8475369521823907E-2</v>
      </c>
      <c r="K51" s="2">
        <v>925</v>
      </c>
      <c r="L51" s="2">
        <v>150</v>
      </c>
      <c r="M51" s="6">
        <v>30</v>
      </c>
      <c r="N51" s="6">
        <v>65</v>
      </c>
      <c r="O51" s="6">
        <v>10</v>
      </c>
      <c r="P51" s="6">
        <v>5</v>
      </c>
      <c r="Q51" s="6">
        <v>20</v>
      </c>
      <c r="R51" s="6"/>
      <c r="S51" s="7">
        <v>0.2</v>
      </c>
      <c r="T51" s="6"/>
    </row>
    <row r="52" spans="1:20" x14ac:dyDescent="0.35">
      <c r="A52" s="2">
        <v>2</v>
      </c>
      <c r="B52" s="2" t="s">
        <v>25</v>
      </c>
      <c r="C52" s="2" t="s">
        <v>14</v>
      </c>
      <c r="D52" s="2" t="s">
        <v>22</v>
      </c>
      <c r="E52" s="2">
        <f>I49+50</f>
        <v>950</v>
      </c>
      <c r="F52" s="2">
        <v>75</v>
      </c>
      <c r="G52" s="2">
        <v>16</v>
      </c>
      <c r="H52" s="2">
        <v>3</v>
      </c>
      <c r="I52" s="2">
        <f t="shared" si="3"/>
        <v>0.12077616018749096</v>
      </c>
      <c r="J52" s="2"/>
      <c r="K52" s="2"/>
      <c r="L52" s="2"/>
      <c r="M52" s="6"/>
      <c r="N52" s="6"/>
      <c r="O52" s="6"/>
      <c r="P52" s="6"/>
      <c r="Q52" s="6"/>
      <c r="R52" s="6"/>
      <c r="S52" s="6"/>
      <c r="T52" s="6"/>
    </row>
    <row r="53" spans="1:20" x14ac:dyDescent="0.35">
      <c r="A53" s="2">
        <v>3</v>
      </c>
      <c r="B53" s="2" t="s">
        <v>25</v>
      </c>
      <c r="C53" s="2" t="s">
        <v>14</v>
      </c>
      <c r="D53" s="2" t="s">
        <v>23</v>
      </c>
      <c r="E53" s="2">
        <f>H49+50</f>
        <v>1150</v>
      </c>
      <c r="F53" s="2">
        <v>75</v>
      </c>
      <c r="G53" s="2">
        <v>16</v>
      </c>
      <c r="H53" s="2">
        <v>3</v>
      </c>
      <c r="I53" s="2">
        <f t="shared" si="3"/>
        <v>0.14620272022696276</v>
      </c>
      <c r="J53" s="2"/>
      <c r="K53" s="2"/>
      <c r="L53" s="2"/>
      <c r="M53" s="6"/>
      <c r="N53" s="6"/>
      <c r="O53" s="6"/>
      <c r="P53" s="6"/>
      <c r="Q53" s="6"/>
      <c r="R53" s="6"/>
      <c r="S53" s="6"/>
      <c r="T53" s="6"/>
    </row>
    <row r="54" spans="1:20" x14ac:dyDescent="0.35">
      <c r="A54" s="2">
        <v>4</v>
      </c>
      <c r="B54" s="2" t="s">
        <v>25</v>
      </c>
      <c r="C54" s="2" t="s">
        <v>14</v>
      </c>
      <c r="D54" s="2" t="s">
        <v>24</v>
      </c>
      <c r="E54" s="2">
        <v>78</v>
      </c>
      <c r="F54" s="2">
        <v>75</v>
      </c>
      <c r="G54" s="2">
        <v>95</v>
      </c>
      <c r="H54" s="2">
        <v>9</v>
      </c>
      <c r="I54" s="2">
        <f t="shared" si="3"/>
        <v>0.17663513427420552</v>
      </c>
      <c r="J54" s="2"/>
      <c r="K54" s="2"/>
      <c r="L54" s="2"/>
      <c r="M54" s="6"/>
      <c r="N54" s="6"/>
      <c r="O54" s="6"/>
      <c r="P54" s="6"/>
      <c r="Q54" s="6"/>
      <c r="R54" s="6"/>
      <c r="S54" s="6"/>
      <c r="T54" s="6"/>
    </row>
    <row r="55" spans="1:20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6"/>
      <c r="N55" s="6"/>
      <c r="O55" s="6"/>
      <c r="P55" s="6"/>
      <c r="Q55" s="6"/>
      <c r="R55" s="6"/>
      <c r="S55" s="6"/>
      <c r="T55" s="6"/>
    </row>
    <row r="56" spans="1:20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6"/>
      <c r="N56" s="6"/>
      <c r="O56" s="6"/>
      <c r="P56" s="6"/>
      <c r="Q56" s="6"/>
      <c r="R56" s="6"/>
      <c r="S56" s="6"/>
      <c r="T56" s="6"/>
    </row>
    <row r="57" spans="1:20" ht="15.5" x14ac:dyDescent="0.35">
      <c r="A57" s="3"/>
      <c r="B57" s="3"/>
      <c r="C57" s="3"/>
      <c r="D57" s="3"/>
      <c r="E57" s="3"/>
      <c r="F57" s="3"/>
      <c r="G57" s="3"/>
      <c r="H57" s="3"/>
      <c r="I57" s="4">
        <f>SUM(I51:I56)</f>
        <v>0.78475369521823901</v>
      </c>
      <c r="J57" s="4">
        <f>J51+I57</f>
        <v>0.86322906474006289</v>
      </c>
      <c r="K57" s="4">
        <f>J57*K51</f>
        <v>798.48688488455821</v>
      </c>
      <c r="L57" s="4">
        <f>J57*L51</f>
        <v>129.48435971100943</v>
      </c>
      <c r="M57" s="4">
        <f>J57*M51</f>
        <v>25.896871942201887</v>
      </c>
      <c r="N57" s="4">
        <f>J57*N51</f>
        <v>56.109889208104086</v>
      </c>
      <c r="O57" s="4">
        <f>J57*O51</f>
        <v>8.6322906474006285</v>
      </c>
      <c r="P57" s="4">
        <f>J57*P51</f>
        <v>4.3161453237003142</v>
      </c>
      <c r="Q57" s="4">
        <f>J57*Q51</f>
        <v>17.264581294801257</v>
      </c>
      <c r="R57" s="4">
        <f>SUM(K57:Q57)</f>
        <v>1040.1910230117758</v>
      </c>
      <c r="S57" s="4">
        <f>R57*S51</f>
        <v>208.03820460235517</v>
      </c>
      <c r="T57" s="5">
        <f>R57+S57</f>
        <v>1248.2292276141309</v>
      </c>
    </row>
    <row r="71" spans="1:20" ht="18.5" x14ac:dyDescent="0.45">
      <c r="A71" s="11">
        <v>4</v>
      </c>
      <c r="B71" s="1"/>
      <c r="C71" s="1"/>
      <c r="D71" s="1"/>
      <c r="E71" s="1"/>
      <c r="F71" s="1"/>
      <c r="G71" s="1">
        <v>25.4</v>
      </c>
      <c r="H71" s="8">
        <v>1140</v>
      </c>
      <c r="I71" s="9">
        <v>1080</v>
      </c>
      <c r="J71" s="9">
        <v>130</v>
      </c>
      <c r="K71" s="9">
        <v>17</v>
      </c>
      <c r="L71" s="9"/>
      <c r="M71" s="10"/>
      <c r="N71" s="1"/>
      <c r="O71" s="1"/>
      <c r="P71" s="1"/>
      <c r="Q71" s="1"/>
      <c r="R71" s="1"/>
      <c r="S71" s="1"/>
      <c r="T71" s="1"/>
    </row>
    <row r="72" spans="1:20" ht="15.5" x14ac:dyDescent="0.35">
      <c r="A72" s="4" t="s">
        <v>4</v>
      </c>
      <c r="B72" s="4" t="s">
        <v>5</v>
      </c>
      <c r="C72" s="4" t="s">
        <v>6</v>
      </c>
      <c r="D72" s="4" t="s">
        <v>15</v>
      </c>
      <c r="E72" s="4" t="s">
        <v>7</v>
      </c>
      <c r="F72" s="4" t="s">
        <v>16</v>
      </c>
      <c r="G72" s="4" t="s">
        <v>17</v>
      </c>
      <c r="H72" s="4" t="s">
        <v>1</v>
      </c>
      <c r="I72" s="4" t="s">
        <v>8</v>
      </c>
      <c r="J72" s="4" t="s">
        <v>18</v>
      </c>
      <c r="K72" s="4" t="s">
        <v>9</v>
      </c>
      <c r="L72" s="4" t="s">
        <v>10</v>
      </c>
      <c r="M72" s="4" t="s">
        <v>11</v>
      </c>
      <c r="N72" s="4" t="s">
        <v>3</v>
      </c>
      <c r="O72" s="4" t="s">
        <v>20</v>
      </c>
      <c r="P72" s="4" t="s">
        <v>19</v>
      </c>
      <c r="Q72" s="4" t="s">
        <v>21</v>
      </c>
      <c r="R72" s="4" t="s">
        <v>0</v>
      </c>
      <c r="S72" s="4" t="s">
        <v>12</v>
      </c>
      <c r="T72" s="4" t="s">
        <v>13</v>
      </c>
    </row>
    <row r="73" spans="1:20" x14ac:dyDescent="0.35">
      <c r="A73" s="2">
        <v>1</v>
      </c>
      <c r="B73" s="2" t="s">
        <v>25</v>
      </c>
      <c r="C73" s="2" t="s">
        <v>14</v>
      </c>
      <c r="D73" s="2" t="s">
        <v>2</v>
      </c>
      <c r="E73" s="2">
        <f>H71</f>
        <v>1140</v>
      </c>
      <c r="F73" s="2">
        <v>75</v>
      </c>
      <c r="G73" s="2">
        <v>16</v>
      </c>
      <c r="H73" s="2">
        <v>7</v>
      </c>
      <c r="I73" s="2">
        <f t="shared" ref="I73:I76" si="4">E73*F73*G73*H73/304.8/304.8/304.8</f>
        <v>0.33817324852497466</v>
      </c>
      <c r="J73" s="2">
        <f>I79*10%</f>
        <v>7.9024954022677063E-2</v>
      </c>
      <c r="K73" s="2">
        <v>925</v>
      </c>
      <c r="L73" s="2">
        <v>150</v>
      </c>
      <c r="M73" s="6">
        <v>30</v>
      </c>
      <c r="N73" s="6">
        <v>30</v>
      </c>
      <c r="O73" s="6">
        <v>10</v>
      </c>
      <c r="P73" s="6">
        <v>5</v>
      </c>
      <c r="Q73" s="6">
        <v>20</v>
      </c>
      <c r="R73" s="6"/>
      <c r="S73" s="7">
        <v>0.15</v>
      </c>
      <c r="T73" s="6"/>
    </row>
    <row r="74" spans="1:20" x14ac:dyDescent="0.35">
      <c r="A74" s="2">
        <v>2</v>
      </c>
      <c r="B74" s="2" t="s">
        <v>25</v>
      </c>
      <c r="C74" s="2" t="s">
        <v>14</v>
      </c>
      <c r="D74" s="2" t="s">
        <v>22</v>
      </c>
      <c r="E74" s="2">
        <f>I71</f>
        <v>1080</v>
      </c>
      <c r="F74" s="2">
        <v>75</v>
      </c>
      <c r="G74" s="2">
        <v>16</v>
      </c>
      <c r="H74" s="2">
        <v>3</v>
      </c>
      <c r="I74" s="2">
        <f t="shared" si="4"/>
        <v>0.13730342421314762</v>
      </c>
      <c r="J74" s="2"/>
      <c r="K74" s="2"/>
      <c r="L74" s="2"/>
      <c r="M74" s="6"/>
      <c r="N74" s="6"/>
      <c r="O74" s="6"/>
      <c r="P74" s="6"/>
      <c r="Q74" s="6"/>
      <c r="R74" s="6"/>
      <c r="S74" s="6"/>
      <c r="T74" s="6"/>
    </row>
    <row r="75" spans="1:20" x14ac:dyDescent="0.35">
      <c r="A75" s="2">
        <v>3</v>
      </c>
      <c r="B75" s="2" t="s">
        <v>25</v>
      </c>
      <c r="C75" s="2" t="s">
        <v>14</v>
      </c>
      <c r="D75" s="2" t="s">
        <v>23</v>
      </c>
      <c r="E75" s="2">
        <f>H71</f>
        <v>1140</v>
      </c>
      <c r="F75" s="2">
        <v>75</v>
      </c>
      <c r="G75" s="2">
        <v>16</v>
      </c>
      <c r="H75" s="2">
        <v>3</v>
      </c>
      <c r="I75" s="2">
        <f t="shared" si="4"/>
        <v>0.14493139222498916</v>
      </c>
      <c r="J75" s="2"/>
      <c r="K75" s="2"/>
      <c r="L75" s="2"/>
      <c r="M75" s="6"/>
      <c r="N75" s="6"/>
      <c r="O75" s="6"/>
      <c r="P75" s="6"/>
      <c r="Q75" s="6"/>
      <c r="R75" s="6"/>
      <c r="S75" s="6"/>
      <c r="T75" s="6"/>
    </row>
    <row r="76" spans="1:20" x14ac:dyDescent="0.35">
      <c r="A76" s="2">
        <v>4</v>
      </c>
      <c r="B76" s="2" t="s">
        <v>25</v>
      </c>
      <c r="C76" s="2" t="s">
        <v>14</v>
      </c>
      <c r="D76" s="2" t="s">
        <v>24</v>
      </c>
      <c r="E76" s="2">
        <v>75</v>
      </c>
      <c r="F76" s="2">
        <v>75</v>
      </c>
      <c r="G76" s="2">
        <v>95</v>
      </c>
      <c r="H76" s="2">
        <v>9</v>
      </c>
      <c r="I76" s="2">
        <f t="shared" si="4"/>
        <v>0.16984147526365917</v>
      </c>
      <c r="J76" s="2"/>
      <c r="K76" s="2"/>
      <c r="L76" s="2"/>
      <c r="M76" s="6"/>
      <c r="N76" s="6"/>
      <c r="O76" s="6"/>
      <c r="P76" s="6"/>
      <c r="Q76" s="6"/>
      <c r="R76" s="6"/>
      <c r="S76" s="6"/>
      <c r="T76" s="6"/>
    </row>
    <row r="77" spans="1:20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6"/>
      <c r="N77" s="6"/>
      <c r="O77" s="6"/>
      <c r="P77" s="6"/>
      <c r="Q77" s="6"/>
      <c r="R77" s="6"/>
      <c r="S77" s="6"/>
      <c r="T77" s="6"/>
    </row>
    <row r="78" spans="1:20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6"/>
      <c r="N78" s="6"/>
      <c r="O78" s="6"/>
      <c r="P78" s="6"/>
      <c r="Q78" s="6"/>
      <c r="R78" s="6"/>
      <c r="S78" s="6"/>
      <c r="T78" s="6"/>
    </row>
    <row r="79" spans="1:20" ht="15.5" x14ac:dyDescent="0.35">
      <c r="A79" s="3"/>
      <c r="B79" s="3"/>
      <c r="C79" s="3"/>
      <c r="D79" s="3"/>
      <c r="E79" s="3"/>
      <c r="F79" s="3"/>
      <c r="G79" s="3"/>
      <c r="H79" s="3"/>
      <c r="I79" s="4">
        <f>SUM(I73:I78)</f>
        <v>0.79024954022677063</v>
      </c>
      <c r="J79" s="4">
        <f>J73+I79</f>
        <v>0.86927449424944769</v>
      </c>
      <c r="K79" s="4">
        <f>J79*K73</f>
        <v>804.07890718073907</v>
      </c>
      <c r="L79" s="4">
        <f>J79*L73</f>
        <v>130.39117413741715</v>
      </c>
      <c r="M79" s="4">
        <f>J79*M73</f>
        <v>26.078234827483431</v>
      </c>
      <c r="N79" s="4">
        <f>J79*N73</f>
        <v>26.078234827483431</v>
      </c>
      <c r="O79" s="4">
        <f>J79*O73</f>
        <v>8.6927449424944765</v>
      </c>
      <c r="P79" s="4">
        <f>J79*P73</f>
        <v>4.3463724712472382</v>
      </c>
      <c r="Q79" s="4">
        <f>J79*Q73</f>
        <v>17.385489884988953</v>
      </c>
      <c r="R79" s="4">
        <f>SUM(K79:Q79)</f>
        <v>1017.0511582718539</v>
      </c>
      <c r="S79" s="4">
        <f>R79*S73</f>
        <v>152.55767374077809</v>
      </c>
      <c r="T79" s="5">
        <f>R79+S79</f>
        <v>1169.6088320126319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SEETHA R</cp:lastModifiedBy>
  <dcterms:created xsi:type="dcterms:W3CDTF">2018-11-09T06:31:53Z</dcterms:created>
  <dcterms:modified xsi:type="dcterms:W3CDTF">2026-07-11T08:29:28Z</dcterms:modified>
</cp:coreProperties>
</file>