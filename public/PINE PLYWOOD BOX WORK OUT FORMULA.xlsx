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etha\Downloads\"/>
    </mc:Choice>
  </mc:AlternateContent>
  <xr:revisionPtr revIDLastSave="0" documentId="13_ncr:1_{E462DF1C-4B42-4ED5-80C4-3AE19B413D4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8" i="1" l="1"/>
  <c r="L18" i="1"/>
  <c r="L40" i="1"/>
  <c r="K40" i="1"/>
  <c r="L283" i="1"/>
  <c r="K283" i="1"/>
  <c r="L254" i="1"/>
  <c r="K254" i="1"/>
  <c r="L229" i="1"/>
  <c r="K229" i="1"/>
  <c r="L203" i="1"/>
  <c r="K203" i="1"/>
  <c r="L178" i="1"/>
  <c r="K178" i="1"/>
  <c r="L152" i="1"/>
  <c r="K152" i="1"/>
  <c r="L127" i="1"/>
  <c r="K127" i="1"/>
  <c r="L92" i="1"/>
  <c r="K92" i="1"/>
  <c r="K65" i="1"/>
  <c r="L65" i="1"/>
  <c r="H296" i="1"/>
  <c r="I296" i="1" s="1"/>
  <c r="E295" i="1"/>
  <c r="I295" i="1" s="1"/>
  <c r="E294" i="1"/>
  <c r="I294" i="1" s="1"/>
  <c r="E293" i="1"/>
  <c r="I293" i="1" s="1"/>
  <c r="E292" i="1"/>
  <c r="I292" i="1" s="1"/>
  <c r="E291" i="1"/>
  <c r="I291" i="1" s="1"/>
  <c r="E290" i="1"/>
  <c r="I290" i="1" s="1"/>
  <c r="E289" i="1"/>
  <c r="I289" i="1" s="1"/>
  <c r="E288" i="1"/>
  <c r="I288" i="1" s="1"/>
  <c r="E287" i="1"/>
  <c r="I287" i="1" s="1"/>
  <c r="E286" i="1"/>
  <c r="I286" i="1" s="1"/>
  <c r="F285" i="1"/>
  <c r="E285" i="1"/>
  <c r="F284" i="1"/>
  <c r="E284" i="1"/>
  <c r="F283" i="1"/>
  <c r="E283" i="1"/>
  <c r="J283" i="1" s="1"/>
  <c r="J280" i="1"/>
  <c r="I280" i="1"/>
  <c r="H280" i="1"/>
  <c r="H104" i="1"/>
  <c r="I104" i="1" s="1"/>
  <c r="E103" i="1"/>
  <c r="I103" i="1" s="1"/>
  <c r="I102" i="1"/>
  <c r="E101" i="1"/>
  <c r="I101" i="1" s="1"/>
  <c r="E100" i="1"/>
  <c r="I100" i="1" s="1"/>
  <c r="E99" i="1"/>
  <c r="I99" i="1" s="1"/>
  <c r="E98" i="1"/>
  <c r="I98" i="1" s="1"/>
  <c r="E97" i="1"/>
  <c r="I97" i="1" s="1"/>
  <c r="E96" i="1"/>
  <c r="I96" i="1" s="1"/>
  <c r="E95" i="1"/>
  <c r="I95" i="1" s="1"/>
  <c r="F94" i="1"/>
  <c r="E94" i="1"/>
  <c r="J94" i="1" s="1"/>
  <c r="F93" i="1"/>
  <c r="E93" i="1"/>
  <c r="J93" i="1" s="1"/>
  <c r="F92" i="1"/>
  <c r="E92" i="1"/>
  <c r="J92" i="1" s="1"/>
  <c r="J89" i="1"/>
  <c r="I89" i="1"/>
  <c r="H89" i="1"/>
  <c r="H77" i="1"/>
  <c r="I77" i="1" s="1"/>
  <c r="E76" i="1"/>
  <c r="I76" i="1" s="1"/>
  <c r="E75" i="1"/>
  <c r="I75" i="1" s="1"/>
  <c r="E74" i="1"/>
  <c r="I74" i="1" s="1"/>
  <c r="E73" i="1"/>
  <c r="I73" i="1" s="1"/>
  <c r="E72" i="1"/>
  <c r="I72" i="1" s="1"/>
  <c r="E71" i="1"/>
  <c r="I71" i="1" s="1"/>
  <c r="E70" i="1"/>
  <c r="I70" i="1" s="1"/>
  <c r="E69" i="1"/>
  <c r="I69" i="1" s="1"/>
  <c r="E68" i="1"/>
  <c r="I68" i="1" s="1"/>
  <c r="F67" i="1"/>
  <c r="E67" i="1"/>
  <c r="F66" i="1"/>
  <c r="E66" i="1"/>
  <c r="F65" i="1"/>
  <c r="E65" i="1"/>
  <c r="J65" i="1" s="1"/>
  <c r="J62" i="1"/>
  <c r="I62" i="1"/>
  <c r="H62" i="1"/>
  <c r="H30" i="1"/>
  <c r="I30" i="1" s="1"/>
  <c r="E261" i="1"/>
  <c r="I261" i="1" s="1"/>
  <c r="E210" i="1"/>
  <c r="I210" i="1" s="1"/>
  <c r="E185" i="1"/>
  <c r="I185" i="1" s="1"/>
  <c r="E159" i="1"/>
  <c r="I159" i="1" s="1"/>
  <c r="E134" i="1"/>
  <c r="I134" i="1" s="1"/>
  <c r="E47" i="1"/>
  <c r="I47" i="1" s="1"/>
  <c r="E24" i="1"/>
  <c r="I24" i="1" s="1"/>
  <c r="H267" i="1"/>
  <c r="I267" i="1" s="1"/>
  <c r="E266" i="1"/>
  <c r="I266" i="1" s="1"/>
  <c r="E265" i="1"/>
  <c r="I265" i="1" s="1"/>
  <c r="E264" i="1"/>
  <c r="I264" i="1" s="1"/>
  <c r="E263" i="1"/>
  <c r="I263" i="1" s="1"/>
  <c r="E262" i="1"/>
  <c r="I262" i="1" s="1"/>
  <c r="E260" i="1"/>
  <c r="I260" i="1" s="1"/>
  <c r="E259" i="1"/>
  <c r="I259" i="1" s="1"/>
  <c r="E258" i="1"/>
  <c r="I258" i="1" s="1"/>
  <c r="E257" i="1"/>
  <c r="I257" i="1" s="1"/>
  <c r="F256" i="1"/>
  <c r="E256" i="1"/>
  <c r="F255" i="1"/>
  <c r="E255" i="1"/>
  <c r="F254" i="1"/>
  <c r="E254" i="1"/>
  <c r="J251" i="1"/>
  <c r="I251" i="1"/>
  <c r="H251" i="1"/>
  <c r="H241" i="1"/>
  <c r="I241" i="1" s="1"/>
  <c r="E240" i="1"/>
  <c r="I240" i="1" s="1"/>
  <c r="E239" i="1"/>
  <c r="I239" i="1" s="1"/>
  <c r="E238" i="1"/>
  <c r="I238" i="1" s="1"/>
  <c r="E237" i="1"/>
  <c r="I237" i="1" s="1"/>
  <c r="E236" i="1"/>
  <c r="I236" i="1" s="1"/>
  <c r="E235" i="1"/>
  <c r="I235" i="1" s="1"/>
  <c r="E234" i="1"/>
  <c r="I234" i="1" s="1"/>
  <c r="E233" i="1"/>
  <c r="I233" i="1" s="1"/>
  <c r="E232" i="1"/>
  <c r="I232" i="1" s="1"/>
  <c r="F231" i="1"/>
  <c r="E231" i="1"/>
  <c r="F230" i="1"/>
  <c r="E230" i="1"/>
  <c r="F229" i="1"/>
  <c r="E229" i="1"/>
  <c r="J226" i="1"/>
  <c r="I226" i="1"/>
  <c r="H226" i="1"/>
  <c r="I216" i="1"/>
  <c r="E215" i="1"/>
  <c r="I215" i="1" s="1"/>
  <c r="E214" i="1"/>
  <c r="I214" i="1" s="1"/>
  <c r="E213" i="1"/>
  <c r="I213" i="1" s="1"/>
  <c r="E212" i="1"/>
  <c r="I212" i="1" s="1"/>
  <c r="E211" i="1"/>
  <c r="I211" i="1" s="1"/>
  <c r="E209" i="1"/>
  <c r="I209" i="1" s="1"/>
  <c r="E208" i="1"/>
  <c r="I208" i="1" s="1"/>
  <c r="E207" i="1"/>
  <c r="I207" i="1" s="1"/>
  <c r="E206" i="1"/>
  <c r="I206" i="1" s="1"/>
  <c r="F205" i="1"/>
  <c r="E205" i="1"/>
  <c r="F204" i="1"/>
  <c r="E204" i="1"/>
  <c r="F203" i="1"/>
  <c r="E203" i="1"/>
  <c r="J200" i="1"/>
  <c r="I200" i="1"/>
  <c r="H200" i="1"/>
  <c r="I191" i="1"/>
  <c r="E190" i="1"/>
  <c r="I190" i="1" s="1"/>
  <c r="E189" i="1"/>
  <c r="I189" i="1" s="1"/>
  <c r="E188" i="1"/>
  <c r="I188" i="1" s="1"/>
  <c r="E187" i="1"/>
  <c r="I187" i="1" s="1"/>
  <c r="E186" i="1"/>
  <c r="I186" i="1" s="1"/>
  <c r="E184" i="1"/>
  <c r="I184" i="1" s="1"/>
  <c r="E183" i="1"/>
  <c r="I183" i="1" s="1"/>
  <c r="E182" i="1"/>
  <c r="I182" i="1" s="1"/>
  <c r="E181" i="1"/>
  <c r="I181" i="1" s="1"/>
  <c r="F180" i="1"/>
  <c r="E180" i="1"/>
  <c r="F179" i="1"/>
  <c r="E179" i="1"/>
  <c r="F178" i="1"/>
  <c r="E178" i="1"/>
  <c r="J175" i="1"/>
  <c r="I175" i="1"/>
  <c r="H175" i="1"/>
  <c r="H165" i="1"/>
  <c r="I165" i="1" s="1"/>
  <c r="E164" i="1"/>
  <c r="I164" i="1" s="1"/>
  <c r="E163" i="1"/>
  <c r="I163" i="1" s="1"/>
  <c r="E162" i="1"/>
  <c r="I162" i="1" s="1"/>
  <c r="E161" i="1"/>
  <c r="I161" i="1" s="1"/>
  <c r="E160" i="1"/>
  <c r="I160" i="1" s="1"/>
  <c r="E158" i="1"/>
  <c r="I158" i="1" s="1"/>
  <c r="E157" i="1"/>
  <c r="I157" i="1" s="1"/>
  <c r="E156" i="1"/>
  <c r="I156" i="1" s="1"/>
  <c r="E155" i="1"/>
  <c r="I155" i="1" s="1"/>
  <c r="F154" i="1"/>
  <c r="E154" i="1"/>
  <c r="F153" i="1"/>
  <c r="E153" i="1"/>
  <c r="F152" i="1"/>
  <c r="E152" i="1"/>
  <c r="J149" i="1"/>
  <c r="I149" i="1"/>
  <c r="H149" i="1"/>
  <c r="H140" i="1"/>
  <c r="I140" i="1" s="1"/>
  <c r="E139" i="1"/>
  <c r="I139" i="1" s="1"/>
  <c r="E138" i="1"/>
  <c r="I138" i="1" s="1"/>
  <c r="E137" i="1"/>
  <c r="I137" i="1" s="1"/>
  <c r="E136" i="1"/>
  <c r="I136" i="1" s="1"/>
  <c r="E135" i="1"/>
  <c r="I135" i="1" s="1"/>
  <c r="E133" i="1"/>
  <c r="I133" i="1" s="1"/>
  <c r="E132" i="1"/>
  <c r="I132" i="1" s="1"/>
  <c r="E131" i="1"/>
  <c r="I131" i="1" s="1"/>
  <c r="E130" i="1"/>
  <c r="I130" i="1" s="1"/>
  <c r="F129" i="1"/>
  <c r="E129" i="1"/>
  <c r="F128" i="1"/>
  <c r="E128" i="1"/>
  <c r="F127" i="1"/>
  <c r="E127" i="1"/>
  <c r="J124" i="1"/>
  <c r="I124" i="1"/>
  <c r="H124" i="1"/>
  <c r="H52" i="1"/>
  <c r="I52" i="1" s="1"/>
  <c r="E51" i="1"/>
  <c r="I51" i="1" s="1"/>
  <c r="E50" i="1"/>
  <c r="I50" i="1" s="1"/>
  <c r="E49" i="1"/>
  <c r="I49" i="1" s="1"/>
  <c r="E48" i="1"/>
  <c r="I48" i="1" s="1"/>
  <c r="E46" i="1"/>
  <c r="I46" i="1" s="1"/>
  <c r="E45" i="1"/>
  <c r="I45" i="1" s="1"/>
  <c r="E44" i="1"/>
  <c r="I44" i="1" s="1"/>
  <c r="E43" i="1"/>
  <c r="I43" i="1" s="1"/>
  <c r="F42" i="1"/>
  <c r="E42" i="1"/>
  <c r="F41" i="1"/>
  <c r="E41" i="1"/>
  <c r="F40" i="1"/>
  <c r="E40" i="1"/>
  <c r="J37" i="1"/>
  <c r="I37" i="1"/>
  <c r="H37" i="1"/>
  <c r="E21" i="1"/>
  <c r="I21" i="1" s="1"/>
  <c r="E22" i="1"/>
  <c r="I22" i="1" s="1"/>
  <c r="E23" i="1"/>
  <c r="I23" i="1" s="1"/>
  <c r="E25" i="1"/>
  <c r="I25" i="1" s="1"/>
  <c r="E26" i="1"/>
  <c r="I26" i="1" s="1"/>
  <c r="E27" i="1"/>
  <c r="I27" i="1" s="1"/>
  <c r="E28" i="1"/>
  <c r="I28" i="1" s="1"/>
  <c r="E29" i="1"/>
  <c r="E20" i="1"/>
  <c r="J15" i="1"/>
  <c r="F19" i="1"/>
  <c r="E19" i="1"/>
  <c r="F20" i="1"/>
  <c r="E18" i="1"/>
  <c r="F18" i="1"/>
  <c r="H15" i="1"/>
  <c r="I15" i="1"/>
  <c r="Z27" i="1"/>
  <c r="J284" i="1" l="1"/>
  <c r="J298" i="1" s="1"/>
  <c r="J285" i="1"/>
  <c r="I298" i="1"/>
  <c r="K298" i="1" s="1"/>
  <c r="I106" i="1"/>
  <c r="K106" i="1"/>
  <c r="J106" i="1"/>
  <c r="J66" i="1"/>
  <c r="J42" i="1"/>
  <c r="J67" i="1"/>
  <c r="I79" i="1"/>
  <c r="J231" i="1"/>
  <c r="J256" i="1"/>
  <c r="J20" i="1"/>
  <c r="J129" i="1"/>
  <c r="J179" i="1"/>
  <c r="J229" i="1"/>
  <c r="J152" i="1"/>
  <c r="J154" i="1"/>
  <c r="J204" i="1"/>
  <c r="J254" i="1"/>
  <c r="J153" i="1"/>
  <c r="J203" i="1"/>
  <c r="J18" i="1"/>
  <c r="J127" i="1"/>
  <c r="J205" i="1"/>
  <c r="J255" i="1"/>
  <c r="J180" i="1"/>
  <c r="J230" i="1"/>
  <c r="J19" i="1"/>
  <c r="J40" i="1"/>
  <c r="J41" i="1"/>
  <c r="I54" i="1"/>
  <c r="J178" i="1"/>
  <c r="I243" i="1"/>
  <c r="K243" i="1" s="1"/>
  <c r="I269" i="1"/>
  <c r="K269" i="1" s="1"/>
  <c r="I218" i="1"/>
  <c r="K218" i="1" s="1"/>
  <c r="I193" i="1"/>
  <c r="K193" i="1" s="1"/>
  <c r="I167" i="1"/>
  <c r="K167" i="1" s="1"/>
  <c r="J128" i="1"/>
  <c r="I142" i="1"/>
  <c r="I29" i="1"/>
  <c r="T298" i="1" l="1"/>
  <c r="S298" i="1"/>
  <c r="R298" i="1"/>
  <c r="Q298" i="1"/>
  <c r="P298" i="1"/>
  <c r="N298" i="1"/>
  <c r="L298" i="1"/>
  <c r="T106" i="1"/>
  <c r="S106" i="1"/>
  <c r="R106" i="1"/>
  <c r="Q106" i="1"/>
  <c r="P106" i="1"/>
  <c r="N106" i="1"/>
  <c r="L106" i="1"/>
  <c r="J79" i="1"/>
  <c r="K79" i="1"/>
  <c r="T79" i="1" s="1"/>
  <c r="J243" i="1"/>
  <c r="L243" i="1" s="1"/>
  <c r="M243" i="1" s="1"/>
  <c r="J167" i="1"/>
  <c r="J32" i="1"/>
  <c r="L32" i="1" s="1"/>
  <c r="M32" i="1" s="1"/>
  <c r="J218" i="1"/>
  <c r="L218" i="1" s="1"/>
  <c r="J269" i="1"/>
  <c r="L269" i="1" s="1"/>
  <c r="K54" i="1"/>
  <c r="J54" i="1"/>
  <c r="J193" i="1"/>
  <c r="L193" i="1" s="1"/>
  <c r="O193" i="1" s="1"/>
  <c r="J142" i="1"/>
  <c r="L142" i="1" s="1"/>
  <c r="I32" i="1"/>
  <c r="N269" i="1"/>
  <c r="P269" i="1"/>
  <c r="Q269" i="1"/>
  <c r="R269" i="1"/>
  <c r="S269" i="1"/>
  <c r="T269" i="1"/>
  <c r="N243" i="1"/>
  <c r="P243" i="1"/>
  <c r="Q243" i="1"/>
  <c r="R243" i="1"/>
  <c r="S243" i="1"/>
  <c r="T243" i="1"/>
  <c r="N218" i="1"/>
  <c r="P218" i="1"/>
  <c r="Q218" i="1"/>
  <c r="R218" i="1"/>
  <c r="S218" i="1"/>
  <c r="T218" i="1"/>
  <c r="N193" i="1"/>
  <c r="P193" i="1"/>
  <c r="Q193" i="1"/>
  <c r="R193" i="1"/>
  <c r="S193" i="1"/>
  <c r="T193" i="1"/>
  <c r="N167" i="1"/>
  <c r="P167" i="1"/>
  <c r="Q167" i="1"/>
  <c r="R167" i="1"/>
  <c r="S167" i="1"/>
  <c r="T167" i="1"/>
  <c r="K142" i="1"/>
  <c r="O298" i="1" l="1"/>
  <c r="M298" i="1"/>
  <c r="O106" i="1"/>
  <c r="M106" i="1"/>
  <c r="L79" i="1"/>
  <c r="M79" i="1" s="1"/>
  <c r="O79" i="1"/>
  <c r="N79" i="1"/>
  <c r="P79" i="1"/>
  <c r="Q79" i="1"/>
  <c r="R79" i="1"/>
  <c r="S79" i="1"/>
  <c r="O243" i="1"/>
  <c r="U243" i="1" s="1"/>
  <c r="L167" i="1"/>
  <c r="M167" i="1" s="1"/>
  <c r="N54" i="1"/>
  <c r="Q54" i="1"/>
  <c r="S54" i="1"/>
  <c r="P54" i="1"/>
  <c r="T54" i="1"/>
  <c r="R54" i="1"/>
  <c r="L54" i="1"/>
  <c r="M193" i="1"/>
  <c r="U193" i="1" s="1"/>
  <c r="V193" i="1" s="1"/>
  <c r="W193" i="1" s="1"/>
  <c r="M269" i="1"/>
  <c r="O269" i="1"/>
  <c r="K32" i="1"/>
  <c r="M218" i="1"/>
  <c r="O218" i="1"/>
  <c r="M142" i="1"/>
  <c r="O142" i="1"/>
  <c r="N142" i="1"/>
  <c r="P142" i="1"/>
  <c r="Q142" i="1"/>
  <c r="R142" i="1"/>
  <c r="S142" i="1"/>
  <c r="T142" i="1"/>
  <c r="U298" i="1" l="1"/>
  <c r="V298" i="1" s="1"/>
  <c r="W298" i="1" s="1"/>
  <c r="U106" i="1"/>
  <c r="U79" i="1"/>
  <c r="V79" i="1" s="1"/>
  <c r="W79" i="1" s="1"/>
  <c r="O167" i="1"/>
  <c r="U167" i="1" s="1"/>
  <c r="U269" i="1"/>
  <c r="V269" i="1" s="1"/>
  <c r="W269" i="1" s="1"/>
  <c r="M54" i="1"/>
  <c r="O54" i="1"/>
  <c r="N32" i="1"/>
  <c r="P32" i="1"/>
  <c r="R32" i="1"/>
  <c r="T32" i="1"/>
  <c r="S32" i="1"/>
  <c r="Q32" i="1"/>
  <c r="V243" i="1"/>
  <c r="W243" i="1" s="1"/>
  <c r="U218" i="1"/>
  <c r="U142" i="1"/>
  <c r="O32" i="1"/>
  <c r="V106" i="1" l="1"/>
  <c r="W106" i="1" s="1"/>
  <c r="U54" i="1"/>
  <c r="V54" i="1" s="1"/>
  <c r="W54" i="1" s="1"/>
  <c r="V218" i="1"/>
  <c r="W218" i="1" s="1"/>
  <c r="V167" i="1"/>
  <c r="W167" i="1" s="1"/>
  <c r="V142" i="1"/>
  <c r="W142" i="1" s="1"/>
  <c r="U32" i="1"/>
  <c r="V32" i="1" l="1"/>
  <c r="W32" i="1" s="1"/>
</calcChain>
</file>

<file path=xl/sharedStrings.xml><?xml version="1.0" encoding="utf-8"?>
<sst xmlns="http://schemas.openxmlformats.org/spreadsheetml/2006/main" count="744" uniqueCount="40">
  <si>
    <t>TOTAL</t>
  </si>
  <si>
    <t>QTY</t>
  </si>
  <si>
    <t>TOP</t>
  </si>
  <si>
    <t>SIDE</t>
  </si>
  <si>
    <t>ENS</t>
  </si>
  <si>
    <t>SR</t>
  </si>
  <si>
    <t>S.NO</t>
  </si>
  <si>
    <t>DATE</t>
  </si>
  <si>
    <t>NAME</t>
  </si>
  <si>
    <t>LENTH</t>
  </si>
  <si>
    <t>CFT</t>
  </si>
  <si>
    <t>CFT RATE</t>
  </si>
  <si>
    <t xml:space="preserve">LABOUR </t>
  </si>
  <si>
    <t>NAIL</t>
  </si>
  <si>
    <t>PROFIT</t>
  </si>
  <si>
    <t>FINAL TOTAL</t>
  </si>
  <si>
    <t>TR</t>
  </si>
  <si>
    <t>PINE WOOD</t>
  </si>
  <si>
    <t>22.04.2026</t>
  </si>
  <si>
    <t>SIZE</t>
  </si>
  <si>
    <t>WITH</t>
  </si>
  <si>
    <t>HIGHT</t>
  </si>
  <si>
    <t>ER</t>
  </si>
  <si>
    <t>ES</t>
  </si>
  <si>
    <t>MM</t>
  </si>
  <si>
    <t>SQ</t>
  </si>
  <si>
    <t>PLY</t>
  </si>
  <si>
    <t>TS</t>
  </si>
  <si>
    <t>BR</t>
  </si>
  <si>
    <t>BBS</t>
  </si>
  <si>
    <t>SS</t>
  </si>
  <si>
    <t>SQ RATE</t>
  </si>
  <si>
    <t>VAST 10%</t>
  </si>
  <si>
    <t>SQ LAB</t>
  </si>
  <si>
    <t>PLAINIG</t>
  </si>
  <si>
    <t>HT</t>
  </si>
  <si>
    <t>LODING</t>
  </si>
  <si>
    <t>INCH</t>
  </si>
  <si>
    <t>BLOOK</t>
  </si>
  <si>
    <t>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</si>
</sst>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9" fontId="1" fillId="4" borderId="1" xfId="0" applyNumberFormat="1" applyFont="1" applyFill="1" applyBorder="1" applyAlignment="1">
      <alignment horizontal="center"/>
    </xf>
    <xf numFmtId="0" fontId="3" fillId="4" borderId="2" xfId="0" applyFont="1" applyFill="1" applyBorder="1"/>
    <xf numFmtId="0" fontId="3" fillId="4" borderId="3" xfId="0" applyFont="1" applyFill="1" applyBorder="1"/>
    <xf numFmtId="0" fontId="3" fillId="3" borderId="1" xfId="0" applyFont="1" applyFill="1" applyBorder="1"/>
    <xf numFmtId="0" fontId="4" fillId="0" borderId="0" xfId="0" applyFont="1"/>
    <xf numFmtId="0" fontId="4" fillId="0" borderId="1" xfId="0" applyFont="1" applyBorder="1"/>
    <xf numFmtId="0" fontId="3" fillId="3" borderId="2" xfId="0" applyFont="1" applyFill="1" applyBorder="1"/>
    <xf numFmtId="9" fontId="2" fillId="2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5" fillId="0" borderId="1" xfId="0" applyFont="1" applyBorder="1"/>
    <xf numFmtId="9" fontId="2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5:Z298"/>
  <sheetViews>
    <sheetView tabSelected="1" workbookViewId="0">
      <selection activeCell="E8" sqref="E8"/>
    </sheetView>
  </sheetViews>
  <sheetFormatPr defaultRowHeight="14.5" x14ac:dyDescent="0.35"/>
  <cols>
    <col min="1" max="1" width="7.1796875" customWidth="1"/>
    <col min="2" max="2" width="10.54296875" customWidth="1"/>
    <col min="3" max="3" width="11.7265625" customWidth="1"/>
    <col min="4" max="4" width="8" customWidth="1"/>
    <col min="5" max="5" width="8.1796875" customWidth="1"/>
    <col min="6" max="6" width="9" customWidth="1"/>
    <col min="7" max="7" width="9.26953125" customWidth="1"/>
    <col min="8" max="8" width="8.7265625" customWidth="1"/>
    <col min="9" max="9" width="12.1796875" customWidth="1"/>
    <col min="10" max="10" width="11.7265625" customWidth="1"/>
    <col min="11" max="13" width="10.453125" customWidth="1"/>
    <col min="14" max="15" width="10.7265625" customWidth="1"/>
    <col min="16" max="16" width="12.7265625" customWidth="1"/>
    <col min="17" max="17" width="11.1796875" customWidth="1"/>
    <col min="18" max="18" width="12.1796875" customWidth="1"/>
    <col min="19" max="19" width="15.54296875" customWidth="1"/>
    <col min="20" max="20" width="13.54296875" customWidth="1"/>
    <col min="21" max="21" width="16.81640625" customWidth="1"/>
    <col min="22" max="22" width="11.453125" customWidth="1"/>
    <col min="23" max="23" width="12.7265625" customWidth="1"/>
  </cols>
  <sheetData>
    <row r="15" spans="1:23" ht="21" x14ac:dyDescent="0.5">
      <c r="H15" s="16">
        <f>H16/G16</f>
        <v>44.881889763779533</v>
      </c>
      <c r="I15" s="16">
        <f>I16/G16</f>
        <v>31.496062992125985</v>
      </c>
      <c r="J15" s="16">
        <f>J16/G16</f>
        <v>7.6771653543307092</v>
      </c>
      <c r="K15" s="12" t="s">
        <v>37</v>
      </c>
      <c r="L15" s="11"/>
      <c r="M15" s="11"/>
      <c r="N15" s="11"/>
      <c r="O15" s="11"/>
    </row>
    <row r="16" spans="1:23" ht="18.5" x14ac:dyDescent="0.45">
      <c r="A16" s="1">
        <v>1</v>
      </c>
      <c r="B16" s="1"/>
      <c r="C16" s="1"/>
      <c r="D16" s="1"/>
      <c r="E16" s="1"/>
      <c r="F16" s="1"/>
      <c r="G16" s="1">
        <v>25.4</v>
      </c>
      <c r="H16" s="10">
        <v>1140</v>
      </c>
      <c r="I16" s="10">
        <v>800</v>
      </c>
      <c r="J16" s="10">
        <v>195</v>
      </c>
      <c r="K16" s="10" t="s">
        <v>24</v>
      </c>
      <c r="L16" s="10">
        <v>9</v>
      </c>
      <c r="M16" s="10" t="s">
        <v>38</v>
      </c>
      <c r="N16" s="10" t="s">
        <v>24</v>
      </c>
      <c r="O16" s="13"/>
      <c r="P16" s="8"/>
      <c r="Q16" s="9"/>
      <c r="R16" s="1"/>
      <c r="S16" s="1"/>
      <c r="T16" s="1"/>
      <c r="U16" s="1"/>
      <c r="V16" s="1"/>
      <c r="W16" s="1"/>
    </row>
    <row r="17" spans="1:26" ht="15.5" x14ac:dyDescent="0.35">
      <c r="A17" s="4" t="s">
        <v>6</v>
      </c>
      <c r="B17" s="4" t="s">
        <v>7</v>
      </c>
      <c r="C17" s="4" t="s">
        <v>8</v>
      </c>
      <c r="D17" s="4" t="s">
        <v>19</v>
      </c>
      <c r="E17" s="4" t="s">
        <v>9</v>
      </c>
      <c r="F17" s="4" t="s">
        <v>20</v>
      </c>
      <c r="G17" s="4" t="s">
        <v>21</v>
      </c>
      <c r="H17" s="4" t="s">
        <v>1</v>
      </c>
      <c r="I17" s="4" t="s">
        <v>10</v>
      </c>
      <c r="J17" s="4" t="s">
        <v>25</v>
      </c>
      <c r="K17" s="4" t="s">
        <v>32</v>
      </c>
      <c r="L17" s="4" t="s">
        <v>32</v>
      </c>
      <c r="M17" s="4" t="s">
        <v>31</v>
      </c>
      <c r="N17" s="4" t="s">
        <v>11</v>
      </c>
      <c r="O17" s="4" t="s">
        <v>33</v>
      </c>
      <c r="P17" s="4" t="s">
        <v>12</v>
      </c>
      <c r="Q17" s="4" t="s">
        <v>13</v>
      </c>
      <c r="R17" s="4" t="s">
        <v>34</v>
      </c>
      <c r="S17" s="4" t="s">
        <v>35</v>
      </c>
      <c r="T17" s="4" t="s">
        <v>36</v>
      </c>
      <c r="U17" s="4" t="s">
        <v>0</v>
      </c>
      <c r="V17" s="4" t="s">
        <v>14</v>
      </c>
      <c r="W17" s="4" t="s">
        <v>15</v>
      </c>
    </row>
    <row r="18" spans="1:26" ht="15.5" x14ac:dyDescent="0.35">
      <c r="A18" s="2">
        <v>1</v>
      </c>
      <c r="B18" s="2" t="s">
        <v>18</v>
      </c>
      <c r="C18" s="2" t="s">
        <v>26</v>
      </c>
      <c r="D18" s="2" t="s">
        <v>2</v>
      </c>
      <c r="E18" s="2">
        <f>H16+100</f>
        <v>1240</v>
      </c>
      <c r="F18" s="2">
        <f>I16+80</f>
        <v>880</v>
      </c>
      <c r="G18" s="2"/>
      <c r="H18" s="2">
        <v>2</v>
      </c>
      <c r="I18" s="2"/>
      <c r="J18" s="15">
        <f>E18*F18*H18/304.8/304.8</f>
        <v>23.491158093427298</v>
      </c>
      <c r="K18" s="4">
        <f>I32*10%</f>
        <v>0.17544856147236354</v>
      </c>
      <c r="L18" s="4">
        <f>J32*10%</f>
        <v>3.3811595400968582</v>
      </c>
      <c r="M18" s="4">
        <v>35</v>
      </c>
      <c r="N18" s="4">
        <v>925</v>
      </c>
      <c r="O18" s="4">
        <v>7</v>
      </c>
      <c r="P18" s="4">
        <v>190</v>
      </c>
      <c r="Q18" s="4">
        <v>30</v>
      </c>
      <c r="R18" s="4">
        <v>20</v>
      </c>
      <c r="S18" s="4">
        <v>15</v>
      </c>
      <c r="T18" s="4">
        <v>5</v>
      </c>
      <c r="U18" s="4"/>
      <c r="V18" s="14">
        <v>0.2</v>
      </c>
      <c r="W18" s="4"/>
    </row>
    <row r="19" spans="1:26" ht="15.5" x14ac:dyDescent="0.35">
      <c r="A19" s="2">
        <v>2</v>
      </c>
      <c r="B19" s="2" t="s">
        <v>18</v>
      </c>
      <c r="C19" s="2" t="s">
        <v>26</v>
      </c>
      <c r="D19" s="2" t="s">
        <v>3</v>
      </c>
      <c r="E19" s="2">
        <f>H16+100</f>
        <v>1240</v>
      </c>
      <c r="F19" s="2">
        <f>J16+40</f>
        <v>235</v>
      </c>
      <c r="G19" s="2"/>
      <c r="H19" s="2">
        <v>2</v>
      </c>
      <c r="I19" s="2"/>
      <c r="J19" s="15">
        <f>E19*F19*H19/304.8/304.8</f>
        <v>6.2732069908584256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</row>
    <row r="20" spans="1:26" ht="15.5" x14ac:dyDescent="0.35">
      <c r="A20" s="2">
        <v>3</v>
      </c>
      <c r="B20" s="2" t="s">
        <v>18</v>
      </c>
      <c r="C20" s="2" t="s">
        <v>26</v>
      </c>
      <c r="D20" s="2" t="s">
        <v>4</v>
      </c>
      <c r="E20" s="2">
        <f>I16</f>
        <v>800</v>
      </c>
      <c r="F20" s="2">
        <f>J16+40</f>
        <v>235</v>
      </c>
      <c r="G20" s="2"/>
      <c r="H20" s="2">
        <v>2</v>
      </c>
      <c r="I20" s="2"/>
      <c r="J20" s="15">
        <f>E20*F20*H20/304.8/304.8</f>
        <v>4.0472303166828549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spans="1:26" ht="15.5" x14ac:dyDescent="0.35">
      <c r="A21" s="2">
        <v>5</v>
      </c>
      <c r="B21" s="2" t="s">
        <v>18</v>
      </c>
      <c r="C21" s="2" t="s">
        <v>17</v>
      </c>
      <c r="D21" s="2" t="s">
        <v>16</v>
      </c>
      <c r="E21" s="2">
        <f>H16+100</f>
        <v>1240</v>
      </c>
      <c r="F21" s="2">
        <v>75</v>
      </c>
      <c r="G21" s="2">
        <v>19</v>
      </c>
      <c r="H21" s="2">
        <v>2</v>
      </c>
      <c r="I21" s="2">
        <f>E21*F21*G21*H21/304.8/304.8/304.8</f>
        <v>0.12480203219374067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spans="1:26" ht="15.5" x14ac:dyDescent="0.35">
      <c r="A22" s="2">
        <v>6</v>
      </c>
      <c r="B22" s="2" t="s">
        <v>18</v>
      </c>
      <c r="C22" s="2" t="s">
        <v>17</v>
      </c>
      <c r="D22" s="2" t="s">
        <v>27</v>
      </c>
      <c r="E22" s="2">
        <f>I16+80</f>
        <v>880</v>
      </c>
      <c r="F22" s="2">
        <v>75</v>
      </c>
      <c r="G22" s="2">
        <v>19</v>
      </c>
      <c r="H22" s="2">
        <v>3</v>
      </c>
      <c r="I22" s="2">
        <f t="shared" ref="I22:I24" si="0">E22*F22*G22*H22/304.8/304.8/304.8</f>
        <v>0.13285377620624006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spans="1:26" x14ac:dyDescent="0.35">
      <c r="A23" s="2">
        <v>6</v>
      </c>
      <c r="B23" s="2" t="s">
        <v>18</v>
      </c>
      <c r="C23" s="2" t="s">
        <v>17</v>
      </c>
      <c r="D23" s="2" t="s">
        <v>28</v>
      </c>
      <c r="E23" s="2">
        <f>H16+100</f>
        <v>1240</v>
      </c>
      <c r="F23" s="2">
        <v>75</v>
      </c>
      <c r="G23" s="2">
        <v>19</v>
      </c>
      <c r="H23" s="2">
        <v>5</v>
      </c>
      <c r="I23" s="2">
        <f t="shared" si="0"/>
        <v>0.31200508048435166</v>
      </c>
      <c r="J23" s="2"/>
      <c r="K23" s="2"/>
      <c r="L23" s="2"/>
      <c r="M23" s="2"/>
      <c r="N23" s="2"/>
      <c r="O23" s="2"/>
      <c r="P23" s="2"/>
      <c r="Q23" s="6"/>
      <c r="R23" s="6"/>
      <c r="S23" s="6"/>
      <c r="T23" s="6"/>
      <c r="U23" s="6"/>
      <c r="V23" s="7"/>
      <c r="W23" s="6"/>
    </row>
    <row r="24" spans="1:26" x14ac:dyDescent="0.35">
      <c r="A24" s="2">
        <v>3</v>
      </c>
      <c r="B24" s="2" t="s">
        <v>18</v>
      </c>
      <c r="C24" s="2" t="s">
        <v>17</v>
      </c>
      <c r="D24" s="2" t="s">
        <v>29</v>
      </c>
      <c r="E24" s="2">
        <f>I16+80</f>
        <v>880</v>
      </c>
      <c r="F24" s="2">
        <v>75</v>
      </c>
      <c r="G24" s="2">
        <v>19</v>
      </c>
      <c r="H24" s="2">
        <v>3</v>
      </c>
      <c r="I24" s="2">
        <f t="shared" si="0"/>
        <v>0.13285377620624006</v>
      </c>
      <c r="J24" s="2"/>
      <c r="K24" s="2"/>
      <c r="L24" s="2"/>
      <c r="M24" s="2"/>
      <c r="N24" s="2"/>
      <c r="O24" s="2"/>
      <c r="P24" s="2"/>
      <c r="Q24" s="6"/>
      <c r="R24" s="6"/>
      <c r="S24" s="6"/>
      <c r="T24" s="6"/>
      <c r="U24" s="6"/>
      <c r="V24" s="6"/>
      <c r="W24" s="6"/>
    </row>
    <row r="25" spans="1:26" x14ac:dyDescent="0.35">
      <c r="A25" s="2">
        <v>3</v>
      </c>
      <c r="B25" s="2" t="s">
        <v>18</v>
      </c>
      <c r="C25" s="2" t="s">
        <v>17</v>
      </c>
      <c r="D25" s="2" t="s">
        <v>29</v>
      </c>
      <c r="E25" s="2">
        <f>I16+80</f>
        <v>880</v>
      </c>
      <c r="F25" s="2">
        <v>75</v>
      </c>
      <c r="G25" s="2">
        <v>19</v>
      </c>
      <c r="H25" s="2">
        <v>3</v>
      </c>
      <c r="I25" s="2">
        <f t="shared" ref="I25" si="1">E25*F25*G25*H25/304.8/304.8/304.8</f>
        <v>0.13285377620624006</v>
      </c>
      <c r="J25" s="2"/>
      <c r="K25" s="2"/>
      <c r="L25" s="2"/>
      <c r="M25" s="2"/>
      <c r="N25" s="2"/>
      <c r="O25" s="2"/>
      <c r="P25" s="2"/>
      <c r="Q25" s="6"/>
      <c r="R25" s="6"/>
      <c r="S25" s="6"/>
      <c r="T25" s="6"/>
      <c r="U25" s="6"/>
      <c r="V25" s="6"/>
      <c r="W25" s="6"/>
    </row>
    <row r="26" spans="1:26" x14ac:dyDescent="0.35">
      <c r="A26" s="2">
        <v>6</v>
      </c>
      <c r="B26" s="2" t="s">
        <v>18</v>
      </c>
      <c r="C26" s="2" t="s">
        <v>17</v>
      </c>
      <c r="D26" s="2" t="s">
        <v>5</v>
      </c>
      <c r="E26" s="2">
        <f>H16+100</f>
        <v>1240</v>
      </c>
      <c r="F26" s="2">
        <v>75</v>
      </c>
      <c r="G26" s="2">
        <v>19</v>
      </c>
      <c r="H26" s="2">
        <v>4</v>
      </c>
      <c r="I26" s="2">
        <f t="shared" ref="I26" si="2">E26*F26*G26*H26/304.8/304.8/304.8</f>
        <v>0.24960406438748134</v>
      </c>
      <c r="J26" s="2"/>
      <c r="K26" s="2"/>
      <c r="L26" s="2"/>
      <c r="M26" s="2"/>
      <c r="N26" s="2"/>
      <c r="O26" s="2"/>
      <c r="P26" s="2"/>
      <c r="Q26" s="6"/>
      <c r="R26" s="6"/>
      <c r="S26" s="6"/>
      <c r="T26" s="6"/>
      <c r="U26" s="6"/>
      <c r="V26" s="6"/>
      <c r="W26" s="6"/>
    </row>
    <row r="27" spans="1:26" x14ac:dyDescent="0.35">
      <c r="A27" s="2">
        <v>6</v>
      </c>
      <c r="B27" s="2" t="s">
        <v>18</v>
      </c>
      <c r="C27" s="2" t="s">
        <v>17</v>
      </c>
      <c r="D27" s="2" t="s">
        <v>30</v>
      </c>
      <c r="E27" s="2">
        <f>J16+40</f>
        <v>235</v>
      </c>
      <c r="F27" s="2">
        <v>75</v>
      </c>
      <c r="G27" s="2">
        <v>19</v>
      </c>
      <c r="H27" s="2">
        <v>6</v>
      </c>
      <c r="I27" s="2">
        <f t="shared" ref="I27" si="3">E27*F27*G27*H27/304.8/304.8/304.8</f>
        <v>7.0955994110150938E-2</v>
      </c>
      <c r="J27" s="2"/>
      <c r="K27" s="2"/>
      <c r="L27" s="2"/>
      <c r="M27" s="2"/>
      <c r="N27" s="2"/>
      <c r="O27" s="2"/>
      <c r="P27" s="2"/>
      <c r="Q27" s="6"/>
      <c r="R27" s="6"/>
      <c r="S27" s="6"/>
      <c r="T27" s="6"/>
      <c r="U27" s="6"/>
      <c r="V27" s="6"/>
      <c r="W27" s="6"/>
      <c r="X27">
        <v>25.4</v>
      </c>
      <c r="Y27">
        <v>45</v>
      </c>
      <c r="Z27">
        <f>Y27*X27</f>
        <v>1143</v>
      </c>
    </row>
    <row r="28" spans="1:26" x14ac:dyDescent="0.35">
      <c r="A28" s="2">
        <v>6</v>
      </c>
      <c r="B28" s="2" t="s">
        <v>18</v>
      </c>
      <c r="C28" s="2" t="s">
        <v>17</v>
      </c>
      <c r="D28" s="2" t="s">
        <v>22</v>
      </c>
      <c r="E28" s="2">
        <f>I16</f>
        <v>800</v>
      </c>
      <c r="F28" s="2">
        <v>75</v>
      </c>
      <c r="G28" s="2">
        <v>19</v>
      </c>
      <c r="H28" s="2">
        <v>6</v>
      </c>
      <c r="I28" s="2">
        <f t="shared" ref="I28:I29" si="4">E28*F28*G28*H28/304.8/304.8/304.8</f>
        <v>0.24155232037498192</v>
      </c>
      <c r="J28" s="2"/>
      <c r="K28" s="2"/>
      <c r="L28" s="2"/>
      <c r="M28" s="2"/>
      <c r="N28" s="2"/>
      <c r="O28" s="2"/>
      <c r="P28" s="2"/>
      <c r="Q28" s="6"/>
      <c r="R28" s="6"/>
      <c r="S28" s="6"/>
      <c r="T28" s="6"/>
      <c r="U28" s="6"/>
      <c r="V28" s="6"/>
      <c r="W28" s="6"/>
    </row>
    <row r="29" spans="1:26" x14ac:dyDescent="0.35">
      <c r="A29" s="2">
        <v>4</v>
      </c>
      <c r="B29" s="2" t="s">
        <v>18</v>
      </c>
      <c r="C29" s="2" t="s">
        <v>17</v>
      </c>
      <c r="D29" s="2" t="s">
        <v>23</v>
      </c>
      <c r="E29" s="2">
        <f>J16+40</f>
        <v>235</v>
      </c>
      <c r="F29" s="2">
        <v>75</v>
      </c>
      <c r="G29" s="2">
        <v>19</v>
      </c>
      <c r="H29" s="2">
        <v>6</v>
      </c>
      <c r="I29" s="2">
        <f t="shared" si="4"/>
        <v>7.0955994110150938E-2</v>
      </c>
      <c r="J29" s="2"/>
      <c r="K29" s="2"/>
      <c r="L29" s="2"/>
      <c r="M29" s="2"/>
      <c r="N29" s="2"/>
      <c r="O29" s="2"/>
      <c r="P29" s="2"/>
      <c r="Q29" s="6"/>
      <c r="R29" s="6"/>
      <c r="S29" s="6"/>
      <c r="T29" s="6"/>
      <c r="U29" s="6"/>
      <c r="V29" s="6"/>
      <c r="W29" s="6"/>
    </row>
    <row r="30" spans="1:26" x14ac:dyDescent="0.35">
      <c r="A30" s="2">
        <v>6</v>
      </c>
      <c r="B30" s="2" t="s">
        <v>18</v>
      </c>
      <c r="C30" s="2" t="s">
        <v>17</v>
      </c>
      <c r="D30" s="2" t="s">
        <v>39</v>
      </c>
      <c r="E30" s="2">
        <v>100</v>
      </c>
      <c r="F30" s="2">
        <v>100</v>
      </c>
      <c r="G30" s="2">
        <v>90</v>
      </c>
      <c r="H30" s="2">
        <f>L16</f>
        <v>9</v>
      </c>
      <c r="I30" s="2">
        <f t="shared" ref="I30" si="5">E30*F30*G30*H30/304.8/304.8/304.8</f>
        <v>0.28604880044405756</v>
      </c>
      <c r="J30" s="2"/>
      <c r="K30" s="2"/>
      <c r="L30" s="2"/>
      <c r="M30" s="2"/>
      <c r="N30" s="2"/>
      <c r="O30" s="2"/>
      <c r="P30" s="2"/>
      <c r="Q30" s="6"/>
      <c r="R30" s="6"/>
      <c r="S30" s="6"/>
      <c r="T30" s="6"/>
      <c r="U30" s="6"/>
      <c r="V30" s="6"/>
      <c r="W30" s="6"/>
    </row>
    <row r="31" spans="1:26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6"/>
      <c r="R31" s="6"/>
      <c r="S31" s="6"/>
      <c r="T31" s="6"/>
      <c r="U31" s="6"/>
      <c r="V31" s="6"/>
      <c r="W31" s="6"/>
    </row>
    <row r="32" spans="1:26" ht="15.5" x14ac:dyDescent="0.35">
      <c r="A32" s="3"/>
      <c r="B32" s="3"/>
      <c r="C32" s="3"/>
      <c r="D32" s="3"/>
      <c r="E32" s="3"/>
      <c r="F32" s="3"/>
      <c r="G32" s="3"/>
      <c r="H32" s="3"/>
      <c r="I32" s="4">
        <f>SUM(I21:I31)</f>
        <v>1.7544856147236352</v>
      </c>
      <c r="J32" s="4">
        <f>SUM(J18:J31)</f>
        <v>33.811595400968578</v>
      </c>
      <c r="K32" s="4">
        <f>I32+K18</f>
        <v>1.9299341761959987</v>
      </c>
      <c r="L32" s="4">
        <f>J32+L18</f>
        <v>37.192754941065438</v>
      </c>
      <c r="M32" s="4">
        <f>L32*M18</f>
        <v>1301.7464229372904</v>
      </c>
      <c r="N32" s="4">
        <f>K32*N18</f>
        <v>1785.1891129812989</v>
      </c>
      <c r="O32" s="4">
        <f>L32*O18</f>
        <v>260.34928458745804</v>
      </c>
      <c r="P32" s="4">
        <f>K32*P18</f>
        <v>366.68749347723974</v>
      </c>
      <c r="Q32" s="4">
        <f>K32*Q18</f>
        <v>57.89802528587996</v>
      </c>
      <c r="R32" s="4">
        <f>K32*R18</f>
        <v>38.598683523919973</v>
      </c>
      <c r="S32" s="4">
        <f>K32*S18</f>
        <v>28.94901264293998</v>
      </c>
      <c r="T32" s="4">
        <f>K32*T18</f>
        <v>9.6496708809799934</v>
      </c>
      <c r="U32" s="4">
        <f>SUM(M32:T32)</f>
        <v>3849.0677063170069</v>
      </c>
      <c r="V32" s="4">
        <f>U32*V18</f>
        <v>769.81354126340148</v>
      </c>
      <c r="W32" s="5">
        <f>U32+V32</f>
        <v>4618.8812475804079</v>
      </c>
    </row>
    <row r="37" spans="1:23" ht="21" x14ac:dyDescent="0.5">
      <c r="H37" s="16">
        <f>H38/G38</f>
        <v>46.062992125984252</v>
      </c>
      <c r="I37" s="16">
        <f>I38/G38</f>
        <v>31.889763779527559</v>
      </c>
      <c r="J37" s="16">
        <f>J38/G38</f>
        <v>14.566929133858268</v>
      </c>
      <c r="K37" s="12" t="s">
        <v>37</v>
      </c>
      <c r="L37" s="11"/>
      <c r="M37" s="11"/>
      <c r="N37" s="11"/>
      <c r="O37" s="11"/>
    </row>
    <row r="38" spans="1:23" ht="18.5" x14ac:dyDescent="0.45">
      <c r="A38" s="1">
        <v>2</v>
      </c>
      <c r="B38" s="1"/>
      <c r="C38" s="1"/>
      <c r="D38" s="1"/>
      <c r="E38" s="1"/>
      <c r="F38" s="1"/>
      <c r="G38" s="1">
        <v>25.4</v>
      </c>
      <c r="H38" s="10">
        <v>1170</v>
      </c>
      <c r="I38" s="10">
        <v>810</v>
      </c>
      <c r="J38" s="10">
        <v>370</v>
      </c>
      <c r="K38" s="10" t="s">
        <v>24</v>
      </c>
      <c r="L38" s="10">
        <v>9</v>
      </c>
      <c r="M38" s="10" t="s">
        <v>38</v>
      </c>
      <c r="N38" s="10" t="s">
        <v>24</v>
      </c>
      <c r="O38" s="13"/>
      <c r="P38" s="8"/>
      <c r="Q38" s="9"/>
      <c r="R38" s="1"/>
      <c r="S38" s="1"/>
      <c r="T38" s="1"/>
      <c r="U38" s="1"/>
      <c r="V38" s="1"/>
      <c r="W38" s="1"/>
    </row>
    <row r="39" spans="1:23" ht="15.5" x14ac:dyDescent="0.35">
      <c r="A39" s="4" t="s">
        <v>6</v>
      </c>
      <c r="B39" s="4" t="s">
        <v>7</v>
      </c>
      <c r="C39" s="4" t="s">
        <v>8</v>
      </c>
      <c r="D39" s="4" t="s">
        <v>19</v>
      </c>
      <c r="E39" s="4" t="s">
        <v>9</v>
      </c>
      <c r="F39" s="4" t="s">
        <v>20</v>
      </c>
      <c r="G39" s="4" t="s">
        <v>21</v>
      </c>
      <c r="H39" s="4" t="s">
        <v>1</v>
      </c>
      <c r="I39" s="4" t="s">
        <v>10</v>
      </c>
      <c r="J39" s="4" t="s">
        <v>25</v>
      </c>
      <c r="K39" s="4" t="s">
        <v>32</v>
      </c>
      <c r="L39" s="4" t="s">
        <v>32</v>
      </c>
      <c r="M39" s="4" t="s">
        <v>31</v>
      </c>
      <c r="N39" s="4" t="s">
        <v>11</v>
      </c>
      <c r="O39" s="4" t="s">
        <v>33</v>
      </c>
      <c r="P39" s="4" t="s">
        <v>12</v>
      </c>
      <c r="Q39" s="4" t="s">
        <v>13</v>
      </c>
      <c r="R39" s="4" t="s">
        <v>34</v>
      </c>
      <c r="S39" s="4" t="s">
        <v>35</v>
      </c>
      <c r="T39" s="4" t="s">
        <v>36</v>
      </c>
      <c r="U39" s="4" t="s">
        <v>0</v>
      </c>
      <c r="V39" s="4" t="s">
        <v>14</v>
      </c>
      <c r="W39" s="4" t="s">
        <v>15</v>
      </c>
    </row>
    <row r="40" spans="1:23" ht="15.5" x14ac:dyDescent="0.35">
      <c r="A40" s="2">
        <v>1</v>
      </c>
      <c r="B40" s="2" t="s">
        <v>18</v>
      </c>
      <c r="C40" s="2" t="s">
        <v>26</v>
      </c>
      <c r="D40" s="2" t="s">
        <v>2</v>
      </c>
      <c r="E40" s="2">
        <f>H38+100</f>
        <v>1270</v>
      </c>
      <c r="F40" s="2">
        <f>I38+80</f>
        <v>890</v>
      </c>
      <c r="G40" s="2"/>
      <c r="H40" s="2">
        <v>2</v>
      </c>
      <c r="I40" s="2"/>
      <c r="J40" s="15">
        <f>E40*F40*H40/304.8/304.8</f>
        <v>24.332895888013994</v>
      </c>
      <c r="K40" s="4">
        <f>I54*10%</f>
        <v>0.18027960787986314</v>
      </c>
      <c r="L40" s="4">
        <f>J54*10%</f>
        <v>4.2691821494754087</v>
      </c>
      <c r="M40" s="4">
        <v>35</v>
      </c>
      <c r="N40" s="4">
        <v>925</v>
      </c>
      <c r="O40" s="4">
        <v>7</v>
      </c>
      <c r="P40" s="4">
        <v>150</v>
      </c>
      <c r="Q40" s="4">
        <v>30</v>
      </c>
      <c r="R40" s="4">
        <v>20</v>
      </c>
      <c r="S40" s="4">
        <v>15</v>
      </c>
      <c r="T40" s="4">
        <v>5</v>
      </c>
      <c r="U40" s="4"/>
      <c r="V40" s="14">
        <v>0.2</v>
      </c>
      <c r="W40" s="4"/>
    </row>
    <row r="41" spans="1:23" ht="15.5" x14ac:dyDescent="0.35">
      <c r="A41" s="2">
        <v>2</v>
      </c>
      <c r="B41" s="2" t="s">
        <v>18</v>
      </c>
      <c r="C41" s="2" t="s">
        <v>26</v>
      </c>
      <c r="D41" s="2" t="s">
        <v>3</v>
      </c>
      <c r="E41" s="2">
        <f>H38+100</f>
        <v>1270</v>
      </c>
      <c r="F41" s="2">
        <f>J38+40</f>
        <v>410</v>
      </c>
      <c r="G41" s="2"/>
      <c r="H41" s="2">
        <v>2</v>
      </c>
      <c r="I41" s="2"/>
      <c r="J41" s="15">
        <f>E41*F41*H41/304.8/304.8</f>
        <v>11.209536307961503</v>
      </c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7"/>
      <c r="W41" s="15"/>
    </row>
    <row r="42" spans="1:23" ht="15.5" x14ac:dyDescent="0.35">
      <c r="A42" s="2">
        <v>3</v>
      </c>
      <c r="B42" s="2" t="s">
        <v>18</v>
      </c>
      <c r="C42" s="2" t="s">
        <v>26</v>
      </c>
      <c r="D42" s="2" t="s">
        <v>4</v>
      </c>
      <c r="E42" s="2">
        <f>I38</f>
        <v>810</v>
      </c>
      <c r="F42" s="2">
        <f>J38+40</f>
        <v>410</v>
      </c>
      <c r="G42" s="2"/>
      <c r="H42" s="2">
        <v>2</v>
      </c>
      <c r="I42" s="2"/>
      <c r="J42" s="15">
        <f>E42*F42*H42/304.8/304.8</f>
        <v>7.1493892987785967</v>
      </c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spans="1:23" ht="15.5" x14ac:dyDescent="0.35">
      <c r="A43" s="2">
        <v>5</v>
      </c>
      <c r="B43" s="2" t="s">
        <v>18</v>
      </c>
      <c r="C43" s="2" t="s">
        <v>17</v>
      </c>
      <c r="D43" s="2" t="s">
        <v>16</v>
      </c>
      <c r="E43" s="2">
        <f>H38+100</f>
        <v>1270</v>
      </c>
      <c r="F43" s="2">
        <v>75</v>
      </c>
      <c r="G43" s="2">
        <v>19</v>
      </c>
      <c r="H43" s="2">
        <v>2</v>
      </c>
      <c r="I43" s="2">
        <f t="shared" ref="I43:I52" si="6">E43*F43*G43*H43/304.8/304.8/304.8</f>
        <v>0.12782143619842795</v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spans="1:23" ht="15.5" x14ac:dyDescent="0.35">
      <c r="A44" s="2">
        <v>6</v>
      </c>
      <c r="B44" s="2" t="s">
        <v>18</v>
      </c>
      <c r="C44" s="2" t="s">
        <v>17</v>
      </c>
      <c r="D44" s="2" t="s">
        <v>27</v>
      </c>
      <c r="E44" s="2">
        <f>I38+80</f>
        <v>890</v>
      </c>
      <c r="F44" s="2">
        <v>75</v>
      </c>
      <c r="G44" s="2">
        <v>19</v>
      </c>
      <c r="H44" s="2">
        <v>3</v>
      </c>
      <c r="I44" s="2">
        <f t="shared" si="6"/>
        <v>0.13436347820858369</v>
      </c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spans="1:23" x14ac:dyDescent="0.35">
      <c r="A45" s="2">
        <v>6</v>
      </c>
      <c r="B45" s="2" t="s">
        <v>18</v>
      </c>
      <c r="C45" s="2" t="s">
        <v>17</v>
      </c>
      <c r="D45" s="2" t="s">
        <v>28</v>
      </c>
      <c r="E45" s="2">
        <f>H38+100</f>
        <v>1270</v>
      </c>
      <c r="F45" s="2">
        <v>75</v>
      </c>
      <c r="G45" s="2">
        <v>19</v>
      </c>
      <c r="H45" s="2">
        <v>5</v>
      </c>
      <c r="I45" s="2">
        <f t="shared" si="6"/>
        <v>0.31955359049606985</v>
      </c>
      <c r="J45" s="2"/>
      <c r="K45" s="2"/>
      <c r="L45" s="2"/>
      <c r="M45" s="2"/>
      <c r="N45" s="2"/>
      <c r="O45" s="2"/>
      <c r="P45" s="2"/>
      <c r="Q45" s="6"/>
      <c r="R45" s="6"/>
      <c r="S45" s="6"/>
      <c r="T45" s="6"/>
      <c r="U45" s="6"/>
      <c r="V45" s="7"/>
      <c r="W45" s="6"/>
    </row>
    <row r="46" spans="1:23" x14ac:dyDescent="0.35">
      <c r="A46" s="2">
        <v>6</v>
      </c>
      <c r="B46" s="2" t="s">
        <v>18</v>
      </c>
      <c r="C46" s="2" t="s">
        <v>17</v>
      </c>
      <c r="D46" s="2" t="s">
        <v>28</v>
      </c>
      <c r="E46" s="2">
        <f>I38+80</f>
        <v>890</v>
      </c>
      <c r="F46" s="2">
        <v>75</v>
      </c>
      <c r="G46" s="2">
        <v>19</v>
      </c>
      <c r="H46" s="2">
        <v>3</v>
      </c>
      <c r="I46" s="2">
        <f t="shared" si="6"/>
        <v>0.13436347820858369</v>
      </c>
      <c r="J46" s="2"/>
      <c r="K46" s="2"/>
      <c r="L46" s="2"/>
      <c r="M46" s="2"/>
      <c r="N46" s="2"/>
      <c r="O46" s="2"/>
      <c r="P46" s="2"/>
      <c r="Q46" s="6"/>
      <c r="R46" s="6"/>
      <c r="S46" s="6"/>
      <c r="T46" s="6"/>
      <c r="U46" s="6"/>
      <c r="V46" s="6"/>
      <c r="W46" s="6"/>
    </row>
    <row r="47" spans="1:23" x14ac:dyDescent="0.35">
      <c r="A47" s="2">
        <v>3</v>
      </c>
      <c r="B47" s="2" t="s">
        <v>18</v>
      </c>
      <c r="C47" s="2" t="s">
        <v>17</v>
      </c>
      <c r="D47" s="2" t="s">
        <v>29</v>
      </c>
      <c r="E47" s="2">
        <f>I38+80</f>
        <v>890</v>
      </c>
      <c r="F47" s="2">
        <v>75</v>
      </c>
      <c r="G47" s="2">
        <v>19</v>
      </c>
      <c r="H47" s="2">
        <v>3</v>
      </c>
      <c r="I47" s="2">
        <f t="shared" ref="I47" si="7">E47*F47*G47*H47/304.8/304.8/304.8</f>
        <v>0.13436347820858369</v>
      </c>
      <c r="J47" s="2"/>
      <c r="K47" s="2"/>
      <c r="L47" s="2"/>
      <c r="M47" s="2"/>
      <c r="N47" s="2"/>
      <c r="O47" s="2"/>
      <c r="P47" s="2"/>
      <c r="Q47" s="6"/>
      <c r="R47" s="6"/>
      <c r="S47" s="6"/>
      <c r="T47" s="6"/>
      <c r="U47" s="6"/>
      <c r="V47" s="6"/>
      <c r="W47" s="6"/>
    </row>
    <row r="48" spans="1:23" x14ac:dyDescent="0.35">
      <c r="A48" s="2">
        <v>6</v>
      </c>
      <c r="B48" s="2" t="s">
        <v>18</v>
      </c>
      <c r="C48" s="2" t="s">
        <v>17</v>
      </c>
      <c r="D48" s="2" t="s">
        <v>5</v>
      </c>
      <c r="E48" s="2">
        <f>H38+100</f>
        <v>1270</v>
      </c>
      <c r="F48" s="2">
        <v>75</v>
      </c>
      <c r="G48" s="2">
        <v>19</v>
      </c>
      <c r="H48" s="2">
        <v>4</v>
      </c>
      <c r="I48" s="2">
        <f t="shared" si="6"/>
        <v>0.2556428723968559</v>
      </c>
      <c r="J48" s="2"/>
      <c r="K48" s="2"/>
      <c r="L48" s="2"/>
      <c r="M48" s="2"/>
      <c r="N48" s="2"/>
      <c r="O48" s="2"/>
      <c r="P48" s="2"/>
      <c r="Q48" s="6"/>
      <c r="R48" s="6"/>
      <c r="S48" s="6"/>
      <c r="T48" s="6"/>
      <c r="U48" s="6"/>
      <c r="V48" s="6"/>
      <c r="W48" s="6"/>
    </row>
    <row r="49" spans="1:23" x14ac:dyDescent="0.35">
      <c r="A49" s="2">
        <v>6</v>
      </c>
      <c r="B49" s="2" t="s">
        <v>18</v>
      </c>
      <c r="C49" s="2" t="s">
        <v>17</v>
      </c>
      <c r="D49" s="2" t="s">
        <v>30</v>
      </c>
      <c r="E49" s="2">
        <f>J38+40</f>
        <v>410</v>
      </c>
      <c r="F49" s="2">
        <v>75</v>
      </c>
      <c r="G49" s="2">
        <v>19</v>
      </c>
      <c r="H49" s="2">
        <v>6</v>
      </c>
      <c r="I49" s="2">
        <f t="shared" si="6"/>
        <v>0.12379556419217824</v>
      </c>
      <c r="J49" s="2"/>
      <c r="K49" s="2"/>
      <c r="L49" s="2"/>
      <c r="M49" s="2"/>
      <c r="N49" s="2"/>
      <c r="O49" s="2"/>
      <c r="P49" s="2"/>
      <c r="Q49" s="6"/>
      <c r="R49" s="6"/>
      <c r="S49" s="6"/>
      <c r="T49" s="6"/>
      <c r="U49" s="6"/>
      <c r="V49" s="6"/>
      <c r="W49" s="6"/>
    </row>
    <row r="50" spans="1:23" x14ac:dyDescent="0.35">
      <c r="A50" s="2">
        <v>6</v>
      </c>
      <c r="B50" s="2" t="s">
        <v>18</v>
      </c>
      <c r="C50" s="2" t="s">
        <v>17</v>
      </c>
      <c r="D50" s="2" t="s">
        <v>22</v>
      </c>
      <c r="E50" s="2">
        <f>I38</f>
        <v>810</v>
      </c>
      <c r="F50" s="2">
        <v>75</v>
      </c>
      <c r="G50" s="2">
        <v>19</v>
      </c>
      <c r="H50" s="2">
        <v>4</v>
      </c>
      <c r="I50" s="2">
        <f t="shared" si="6"/>
        <v>0.16304781625311282</v>
      </c>
      <c r="J50" s="2"/>
      <c r="K50" s="2"/>
      <c r="L50" s="2"/>
      <c r="M50" s="2"/>
      <c r="N50" s="2"/>
      <c r="O50" s="2"/>
      <c r="P50" s="2"/>
      <c r="Q50" s="6"/>
      <c r="R50" s="6"/>
      <c r="S50" s="6"/>
      <c r="T50" s="6"/>
      <c r="U50" s="6"/>
      <c r="V50" s="6"/>
      <c r="W50" s="6"/>
    </row>
    <row r="51" spans="1:23" x14ac:dyDescent="0.35">
      <c r="A51" s="2">
        <v>4</v>
      </c>
      <c r="B51" s="2" t="s">
        <v>18</v>
      </c>
      <c r="C51" s="2" t="s">
        <v>17</v>
      </c>
      <c r="D51" s="2" t="s">
        <v>23</v>
      </c>
      <c r="E51" s="2">
        <f>J38+40</f>
        <v>410</v>
      </c>
      <c r="F51" s="2">
        <v>75</v>
      </c>
      <c r="G51" s="2">
        <v>19</v>
      </c>
      <c r="H51" s="2">
        <v>6</v>
      </c>
      <c r="I51" s="2">
        <f t="shared" si="6"/>
        <v>0.12379556419217824</v>
      </c>
      <c r="J51" s="2"/>
      <c r="K51" s="2"/>
      <c r="L51" s="2"/>
      <c r="M51" s="2"/>
      <c r="N51" s="2"/>
      <c r="O51" s="2"/>
      <c r="P51" s="2"/>
      <c r="Q51" s="6"/>
      <c r="R51" s="6"/>
      <c r="S51" s="6"/>
      <c r="T51" s="6"/>
      <c r="U51" s="6"/>
      <c r="V51" s="6"/>
      <c r="W51" s="6"/>
    </row>
    <row r="52" spans="1:23" x14ac:dyDescent="0.35">
      <c r="A52" s="2">
        <v>6</v>
      </c>
      <c r="B52" s="2" t="s">
        <v>18</v>
      </c>
      <c r="C52" s="2" t="s">
        <v>17</v>
      </c>
      <c r="D52" s="2" t="s">
        <v>22</v>
      </c>
      <c r="E52" s="2">
        <v>100</v>
      </c>
      <c r="F52" s="2">
        <v>100</v>
      </c>
      <c r="G52" s="2">
        <v>90</v>
      </c>
      <c r="H52" s="2">
        <f>L38</f>
        <v>9</v>
      </c>
      <c r="I52" s="2">
        <f t="shared" si="6"/>
        <v>0.28604880044405756</v>
      </c>
      <c r="J52" s="2"/>
      <c r="K52" s="2"/>
      <c r="L52" s="2"/>
      <c r="M52" s="2"/>
      <c r="N52" s="2"/>
      <c r="O52" s="2"/>
      <c r="P52" s="2"/>
      <c r="Q52" s="6"/>
      <c r="R52" s="6"/>
      <c r="S52" s="6"/>
      <c r="T52" s="6"/>
      <c r="U52" s="6"/>
      <c r="V52" s="6"/>
      <c r="W52" s="6"/>
    </row>
    <row r="53" spans="1:23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6"/>
      <c r="R53" s="6"/>
      <c r="S53" s="6"/>
      <c r="T53" s="6"/>
      <c r="U53" s="6"/>
      <c r="V53" s="6"/>
      <c r="W53" s="6"/>
    </row>
    <row r="54" spans="1:23" ht="15.5" x14ac:dyDescent="0.35">
      <c r="A54" s="3"/>
      <c r="B54" s="3"/>
      <c r="C54" s="3"/>
      <c r="D54" s="3"/>
      <c r="E54" s="3"/>
      <c r="F54" s="3"/>
      <c r="G54" s="3"/>
      <c r="H54" s="3"/>
      <c r="I54" s="4">
        <f>SUM(I43:I53)</f>
        <v>1.8027960787986312</v>
      </c>
      <c r="J54" s="4">
        <f>SUM(J40:J53)</f>
        <v>42.691821494754087</v>
      </c>
      <c r="K54" s="4">
        <f>I54+K40</f>
        <v>1.9830756866784944</v>
      </c>
      <c r="L54" s="4">
        <f>J54+L40</f>
        <v>46.961003644229493</v>
      </c>
      <c r="M54" s="4">
        <f>L54*M40</f>
        <v>1643.6351275480322</v>
      </c>
      <c r="N54" s="4">
        <f>K54*N40</f>
        <v>1834.3450101776073</v>
      </c>
      <c r="O54" s="4">
        <f>L54*O40</f>
        <v>328.72702550960645</v>
      </c>
      <c r="P54" s="4">
        <f>K54*P40</f>
        <v>297.46135300177417</v>
      </c>
      <c r="Q54" s="4">
        <f>K54*Q40</f>
        <v>59.492270600354836</v>
      </c>
      <c r="R54" s="4">
        <f>K54*R40</f>
        <v>39.66151373356989</v>
      </c>
      <c r="S54" s="4">
        <f>K54*S40</f>
        <v>29.746135300177418</v>
      </c>
      <c r="T54" s="4">
        <f>K54*T40</f>
        <v>9.9153784333924726</v>
      </c>
      <c r="U54" s="4">
        <f>SUM(M54:T54)</f>
        <v>4242.9838143045145</v>
      </c>
      <c r="V54" s="4">
        <f>U54*V40</f>
        <v>848.59676286090291</v>
      </c>
      <c r="W54" s="5">
        <f>U54+V54</f>
        <v>5091.5805771654177</v>
      </c>
    </row>
    <row r="62" spans="1:23" ht="21" x14ac:dyDescent="0.5">
      <c r="H62" s="16">
        <f>H63/G63</f>
        <v>46.062992125984252</v>
      </c>
      <c r="I62" s="16">
        <f>I63/G63</f>
        <v>31.889763779527559</v>
      </c>
      <c r="J62" s="16">
        <f>J63/G63</f>
        <v>14.566929133858268</v>
      </c>
      <c r="K62" s="12" t="s">
        <v>37</v>
      </c>
      <c r="L62" s="11"/>
      <c r="M62" s="11"/>
      <c r="N62" s="11"/>
      <c r="O62" s="11"/>
    </row>
    <row r="63" spans="1:23" ht="18.5" x14ac:dyDescent="0.45">
      <c r="A63" s="1">
        <v>2</v>
      </c>
      <c r="B63" s="1"/>
      <c r="C63" s="1"/>
      <c r="D63" s="1"/>
      <c r="E63" s="1"/>
      <c r="F63" s="1"/>
      <c r="G63" s="1">
        <v>25.4</v>
      </c>
      <c r="H63" s="10">
        <v>1170</v>
      </c>
      <c r="I63" s="10">
        <v>810</v>
      </c>
      <c r="J63" s="10">
        <v>370</v>
      </c>
      <c r="K63" s="10" t="s">
        <v>24</v>
      </c>
      <c r="L63" s="10">
        <v>9</v>
      </c>
      <c r="M63" s="10" t="s">
        <v>38</v>
      </c>
      <c r="N63" s="10" t="s">
        <v>24</v>
      </c>
      <c r="O63" s="13"/>
      <c r="P63" s="8"/>
      <c r="Q63" s="9"/>
      <c r="R63" s="1"/>
      <c r="S63" s="1"/>
      <c r="T63" s="1"/>
      <c r="U63" s="1"/>
      <c r="V63" s="1"/>
      <c r="W63" s="1"/>
    </row>
    <row r="64" spans="1:23" ht="15.5" x14ac:dyDescent="0.35">
      <c r="A64" s="4" t="s">
        <v>6</v>
      </c>
      <c r="B64" s="4" t="s">
        <v>7</v>
      </c>
      <c r="C64" s="4" t="s">
        <v>8</v>
      </c>
      <c r="D64" s="4" t="s">
        <v>19</v>
      </c>
      <c r="E64" s="4" t="s">
        <v>9</v>
      </c>
      <c r="F64" s="4" t="s">
        <v>20</v>
      </c>
      <c r="G64" s="4" t="s">
        <v>21</v>
      </c>
      <c r="H64" s="4" t="s">
        <v>1</v>
      </c>
      <c r="I64" s="4" t="s">
        <v>10</v>
      </c>
      <c r="J64" s="4" t="s">
        <v>25</v>
      </c>
      <c r="K64" s="4" t="s">
        <v>32</v>
      </c>
      <c r="L64" s="4" t="s">
        <v>32</v>
      </c>
      <c r="M64" s="4" t="s">
        <v>31</v>
      </c>
      <c r="N64" s="4" t="s">
        <v>11</v>
      </c>
      <c r="O64" s="4" t="s">
        <v>33</v>
      </c>
      <c r="P64" s="4" t="s">
        <v>12</v>
      </c>
      <c r="Q64" s="4" t="s">
        <v>13</v>
      </c>
      <c r="R64" s="4" t="s">
        <v>34</v>
      </c>
      <c r="S64" s="4" t="s">
        <v>35</v>
      </c>
      <c r="T64" s="4" t="s">
        <v>36</v>
      </c>
      <c r="U64" s="4" t="s">
        <v>0</v>
      </c>
      <c r="V64" s="4" t="s">
        <v>14</v>
      </c>
      <c r="W64" s="4" t="s">
        <v>15</v>
      </c>
    </row>
    <row r="65" spans="1:23" ht="15.5" x14ac:dyDescent="0.35">
      <c r="A65" s="2">
        <v>1</v>
      </c>
      <c r="B65" s="2" t="s">
        <v>18</v>
      </c>
      <c r="C65" s="2" t="s">
        <v>26</v>
      </c>
      <c r="D65" s="2" t="s">
        <v>2</v>
      </c>
      <c r="E65" s="2">
        <f>H63+100</f>
        <v>1270</v>
      </c>
      <c r="F65" s="2">
        <f>I63+80</f>
        <v>890</v>
      </c>
      <c r="G65" s="2"/>
      <c r="H65" s="2">
        <v>2</v>
      </c>
      <c r="I65" s="2"/>
      <c r="J65" s="15">
        <f>E65*F65*H65/304.8/304.8</f>
        <v>24.332895888013994</v>
      </c>
      <c r="K65" s="4">
        <f>I79*10%</f>
        <v>0.20050290492459083</v>
      </c>
      <c r="L65" s="4">
        <f>J79*10%</f>
        <v>4.2691821494754087</v>
      </c>
      <c r="M65" s="4">
        <v>35</v>
      </c>
      <c r="N65" s="4">
        <v>925</v>
      </c>
      <c r="O65" s="4">
        <v>7</v>
      </c>
      <c r="P65" s="4">
        <v>150</v>
      </c>
      <c r="Q65" s="4">
        <v>30</v>
      </c>
      <c r="R65" s="4">
        <v>20</v>
      </c>
      <c r="S65" s="4">
        <v>15</v>
      </c>
      <c r="T65" s="4">
        <v>5</v>
      </c>
      <c r="U65" s="4"/>
      <c r="V65" s="14">
        <v>0.2</v>
      </c>
      <c r="W65" s="4"/>
    </row>
    <row r="66" spans="1:23" ht="15.5" x14ac:dyDescent="0.35">
      <c r="A66" s="2">
        <v>2</v>
      </c>
      <c r="B66" s="2" t="s">
        <v>18</v>
      </c>
      <c r="C66" s="2" t="s">
        <v>26</v>
      </c>
      <c r="D66" s="2" t="s">
        <v>3</v>
      </c>
      <c r="E66" s="2">
        <f>H63+100</f>
        <v>1270</v>
      </c>
      <c r="F66" s="2">
        <f>J63+40</f>
        <v>410</v>
      </c>
      <c r="G66" s="2"/>
      <c r="H66" s="2">
        <v>2</v>
      </c>
      <c r="I66" s="2"/>
      <c r="J66" s="15">
        <f>E66*F66*H66/304.8/304.8</f>
        <v>11.209536307961503</v>
      </c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7"/>
      <c r="W66" s="15"/>
    </row>
    <row r="67" spans="1:23" ht="15.5" x14ac:dyDescent="0.35">
      <c r="A67" s="2">
        <v>3</v>
      </c>
      <c r="B67" s="2" t="s">
        <v>18</v>
      </c>
      <c r="C67" s="2" t="s">
        <v>26</v>
      </c>
      <c r="D67" s="2" t="s">
        <v>4</v>
      </c>
      <c r="E67" s="2">
        <f>I63</f>
        <v>810</v>
      </c>
      <c r="F67" s="2">
        <f>J63+40</f>
        <v>410</v>
      </c>
      <c r="G67" s="2"/>
      <c r="H67" s="2">
        <v>2</v>
      </c>
      <c r="I67" s="2"/>
      <c r="J67" s="15">
        <f>E67*F67*H67/304.8/304.8</f>
        <v>7.1493892987785967</v>
      </c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spans="1:23" ht="15.5" x14ac:dyDescent="0.35">
      <c r="A68" s="2">
        <v>5</v>
      </c>
      <c r="B68" s="2" t="s">
        <v>18</v>
      </c>
      <c r="C68" s="2" t="s">
        <v>17</v>
      </c>
      <c r="D68" s="2" t="s">
        <v>16</v>
      </c>
      <c r="E68" s="2">
        <f>H63+100</f>
        <v>1270</v>
      </c>
      <c r="F68" s="2">
        <v>95</v>
      </c>
      <c r="G68" s="2">
        <v>17</v>
      </c>
      <c r="H68" s="2">
        <v>2</v>
      </c>
      <c r="I68" s="2">
        <f t="shared" ref="I68:I77" si="8">E68*F68*G68*H68/304.8/304.8/304.8</f>
        <v>0.14486429435821832</v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spans="1:23" ht="15.5" x14ac:dyDescent="0.35">
      <c r="A69" s="2">
        <v>6</v>
      </c>
      <c r="B69" s="2" t="s">
        <v>18</v>
      </c>
      <c r="C69" s="2" t="s">
        <v>17</v>
      </c>
      <c r="D69" s="2" t="s">
        <v>27</v>
      </c>
      <c r="E69" s="2">
        <f>I63+80</f>
        <v>890</v>
      </c>
      <c r="F69" s="2">
        <v>95</v>
      </c>
      <c r="G69" s="2">
        <v>17</v>
      </c>
      <c r="H69" s="2">
        <v>3</v>
      </c>
      <c r="I69" s="2">
        <f t="shared" si="8"/>
        <v>0.15227860863639484</v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spans="1:23" x14ac:dyDescent="0.35">
      <c r="A70" s="2">
        <v>6</v>
      </c>
      <c r="B70" s="2" t="s">
        <v>18</v>
      </c>
      <c r="C70" s="2" t="s">
        <v>17</v>
      </c>
      <c r="D70" s="2" t="s">
        <v>28</v>
      </c>
      <c r="E70" s="2">
        <f>H63+100</f>
        <v>1270</v>
      </c>
      <c r="F70" s="2">
        <v>95</v>
      </c>
      <c r="G70" s="2">
        <v>17</v>
      </c>
      <c r="H70" s="2">
        <v>5</v>
      </c>
      <c r="I70" s="2">
        <f t="shared" si="8"/>
        <v>0.36216073589554582</v>
      </c>
      <c r="J70" s="2"/>
      <c r="K70" s="2"/>
      <c r="L70" s="2"/>
      <c r="M70" s="2"/>
      <c r="N70" s="2"/>
      <c r="O70" s="2"/>
      <c r="P70" s="2"/>
      <c r="Q70" s="6"/>
      <c r="R70" s="6"/>
      <c r="S70" s="6"/>
      <c r="T70" s="6"/>
      <c r="U70" s="6"/>
      <c r="V70" s="7"/>
      <c r="W70" s="6"/>
    </row>
    <row r="71" spans="1:23" x14ac:dyDescent="0.35">
      <c r="A71" s="2">
        <v>6</v>
      </c>
      <c r="B71" s="2" t="s">
        <v>18</v>
      </c>
      <c r="C71" s="2" t="s">
        <v>17</v>
      </c>
      <c r="D71" s="2" t="s">
        <v>28</v>
      </c>
      <c r="E71" s="2">
        <f>I63+80</f>
        <v>890</v>
      </c>
      <c r="F71" s="2">
        <v>95</v>
      </c>
      <c r="G71" s="2">
        <v>17</v>
      </c>
      <c r="H71" s="2">
        <v>3</v>
      </c>
      <c r="I71" s="2">
        <f t="shared" si="8"/>
        <v>0.15227860863639484</v>
      </c>
      <c r="J71" s="2"/>
      <c r="K71" s="2"/>
      <c r="L71" s="2"/>
      <c r="M71" s="2"/>
      <c r="N71" s="2"/>
      <c r="O71" s="2"/>
      <c r="P71" s="2"/>
      <c r="Q71" s="6"/>
      <c r="R71" s="6"/>
      <c r="S71" s="6"/>
      <c r="T71" s="6"/>
      <c r="U71" s="6"/>
      <c r="V71" s="6"/>
      <c r="W71" s="6"/>
    </row>
    <row r="72" spans="1:23" x14ac:dyDescent="0.35">
      <c r="A72" s="2">
        <v>3</v>
      </c>
      <c r="B72" s="2" t="s">
        <v>18</v>
      </c>
      <c r="C72" s="2" t="s">
        <v>17</v>
      </c>
      <c r="D72" s="2" t="s">
        <v>29</v>
      </c>
      <c r="E72" s="2">
        <f>I63+80</f>
        <v>890</v>
      </c>
      <c r="F72" s="2">
        <v>95</v>
      </c>
      <c r="G72" s="2">
        <v>17</v>
      </c>
      <c r="H72" s="2">
        <v>3</v>
      </c>
      <c r="I72" s="2">
        <f t="shared" si="8"/>
        <v>0.15227860863639484</v>
      </c>
      <c r="J72" s="2"/>
      <c r="K72" s="2"/>
      <c r="L72" s="2"/>
      <c r="M72" s="2"/>
      <c r="N72" s="2"/>
      <c r="O72" s="2"/>
      <c r="P72" s="2"/>
      <c r="Q72" s="6"/>
      <c r="R72" s="6"/>
      <c r="S72" s="6"/>
      <c r="T72" s="6"/>
      <c r="U72" s="6"/>
      <c r="V72" s="6"/>
      <c r="W72" s="6"/>
    </row>
    <row r="73" spans="1:23" x14ac:dyDescent="0.35">
      <c r="A73" s="2">
        <v>6</v>
      </c>
      <c r="B73" s="2" t="s">
        <v>18</v>
      </c>
      <c r="C73" s="2" t="s">
        <v>17</v>
      </c>
      <c r="D73" s="2" t="s">
        <v>5</v>
      </c>
      <c r="E73" s="2">
        <f>H63+100</f>
        <v>1270</v>
      </c>
      <c r="F73" s="2">
        <v>95</v>
      </c>
      <c r="G73" s="2">
        <v>17</v>
      </c>
      <c r="H73" s="2">
        <v>4</v>
      </c>
      <c r="I73" s="2">
        <f t="shared" si="8"/>
        <v>0.28972858871643664</v>
      </c>
      <c r="J73" s="2"/>
      <c r="K73" s="2"/>
      <c r="L73" s="2"/>
      <c r="M73" s="2"/>
      <c r="N73" s="2"/>
      <c r="O73" s="2"/>
      <c r="P73" s="2"/>
      <c r="Q73" s="6"/>
      <c r="R73" s="6"/>
      <c r="S73" s="6"/>
      <c r="T73" s="6"/>
      <c r="U73" s="6"/>
      <c r="V73" s="6"/>
      <c r="W73" s="6"/>
    </row>
    <row r="74" spans="1:23" x14ac:dyDescent="0.35">
      <c r="A74" s="2">
        <v>6</v>
      </c>
      <c r="B74" s="2" t="s">
        <v>18</v>
      </c>
      <c r="C74" s="2" t="s">
        <v>17</v>
      </c>
      <c r="D74" s="2" t="s">
        <v>30</v>
      </c>
      <c r="E74" s="2">
        <f>J63+40</f>
        <v>410</v>
      </c>
      <c r="F74" s="2">
        <v>95</v>
      </c>
      <c r="G74" s="2">
        <v>17</v>
      </c>
      <c r="H74" s="2">
        <v>6</v>
      </c>
      <c r="I74" s="2">
        <f t="shared" si="8"/>
        <v>0.14030163941780199</v>
      </c>
      <c r="J74" s="2"/>
      <c r="K74" s="2"/>
      <c r="L74" s="2"/>
      <c r="M74" s="2"/>
      <c r="N74" s="2"/>
      <c r="O74" s="2"/>
      <c r="P74" s="2"/>
      <c r="Q74" s="6"/>
      <c r="R74" s="6"/>
      <c r="S74" s="6"/>
      <c r="T74" s="6"/>
      <c r="U74" s="6"/>
      <c r="V74" s="6"/>
      <c r="W74" s="6"/>
    </row>
    <row r="75" spans="1:23" x14ac:dyDescent="0.35">
      <c r="A75" s="2">
        <v>6</v>
      </c>
      <c r="B75" s="2" t="s">
        <v>18</v>
      </c>
      <c r="C75" s="2" t="s">
        <v>17</v>
      </c>
      <c r="D75" s="2" t="s">
        <v>22</v>
      </c>
      <c r="E75" s="2">
        <f>I63</f>
        <v>810</v>
      </c>
      <c r="F75" s="2">
        <v>95</v>
      </c>
      <c r="G75" s="2">
        <v>17</v>
      </c>
      <c r="H75" s="2">
        <v>4</v>
      </c>
      <c r="I75" s="2">
        <f t="shared" si="8"/>
        <v>0.18478752508686117</v>
      </c>
      <c r="J75" s="2"/>
      <c r="K75" s="2"/>
      <c r="L75" s="2"/>
      <c r="M75" s="2"/>
      <c r="N75" s="2"/>
      <c r="O75" s="2"/>
      <c r="P75" s="2"/>
      <c r="Q75" s="6"/>
      <c r="R75" s="6"/>
      <c r="S75" s="6"/>
      <c r="T75" s="6"/>
      <c r="U75" s="6"/>
      <c r="V75" s="6"/>
      <c r="W75" s="6"/>
    </row>
    <row r="76" spans="1:23" x14ac:dyDescent="0.35">
      <c r="A76" s="2">
        <v>4</v>
      </c>
      <c r="B76" s="2" t="s">
        <v>18</v>
      </c>
      <c r="C76" s="2" t="s">
        <v>17</v>
      </c>
      <c r="D76" s="2" t="s">
        <v>23</v>
      </c>
      <c r="E76" s="2">
        <f>J63+40</f>
        <v>410</v>
      </c>
      <c r="F76" s="2">
        <v>95</v>
      </c>
      <c r="G76" s="2">
        <v>17</v>
      </c>
      <c r="H76" s="2">
        <v>6</v>
      </c>
      <c r="I76" s="2">
        <f t="shared" si="8"/>
        <v>0.14030163941780199</v>
      </c>
      <c r="J76" s="2"/>
      <c r="K76" s="2"/>
      <c r="L76" s="2"/>
      <c r="M76" s="2"/>
      <c r="N76" s="2"/>
      <c r="O76" s="2"/>
      <c r="P76" s="2"/>
      <c r="Q76" s="6"/>
      <c r="R76" s="6"/>
      <c r="S76" s="6"/>
      <c r="T76" s="6"/>
      <c r="U76" s="6"/>
      <c r="V76" s="6"/>
      <c r="W76" s="6"/>
    </row>
    <row r="77" spans="1:23" x14ac:dyDescent="0.35">
      <c r="A77" s="2">
        <v>6</v>
      </c>
      <c r="B77" s="2" t="s">
        <v>18</v>
      </c>
      <c r="C77" s="2" t="s">
        <v>17</v>
      </c>
      <c r="D77" s="2" t="s">
        <v>22</v>
      </c>
      <c r="E77" s="2">
        <v>100</v>
      </c>
      <c r="F77" s="2">
        <v>100</v>
      </c>
      <c r="G77" s="2">
        <v>90</v>
      </c>
      <c r="H77" s="2">
        <f>L63</f>
        <v>9</v>
      </c>
      <c r="I77" s="2">
        <f t="shared" si="8"/>
        <v>0.28604880044405756</v>
      </c>
      <c r="J77" s="2"/>
      <c r="K77" s="2"/>
      <c r="L77" s="2"/>
      <c r="M77" s="2"/>
      <c r="N77" s="2"/>
      <c r="O77" s="2"/>
      <c r="P77" s="2"/>
      <c r="Q77" s="6"/>
      <c r="R77" s="6"/>
      <c r="S77" s="6"/>
      <c r="T77" s="6"/>
      <c r="U77" s="6"/>
      <c r="V77" s="6"/>
      <c r="W77" s="6"/>
    </row>
    <row r="78" spans="1:23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6"/>
      <c r="R78" s="6"/>
      <c r="S78" s="6"/>
      <c r="T78" s="6"/>
      <c r="U78" s="6"/>
      <c r="V78" s="6"/>
      <c r="W78" s="6"/>
    </row>
    <row r="79" spans="1:23" ht="15.5" x14ac:dyDescent="0.35">
      <c r="A79" s="3"/>
      <c r="B79" s="3"/>
      <c r="C79" s="3"/>
      <c r="D79" s="3"/>
      <c r="E79" s="3"/>
      <c r="F79" s="3"/>
      <c r="G79" s="3"/>
      <c r="H79" s="3"/>
      <c r="I79" s="4">
        <f>SUM(I68:I78)</f>
        <v>2.0050290492459082</v>
      </c>
      <c r="J79" s="4">
        <f>SUM(J65:J78)</f>
        <v>42.691821494754087</v>
      </c>
      <c r="K79" s="4">
        <f>I79+K65</f>
        <v>2.2055319541704992</v>
      </c>
      <c r="L79" s="4">
        <f>J79+L65</f>
        <v>46.961003644229493</v>
      </c>
      <c r="M79" s="4">
        <f>L79*M65</f>
        <v>1643.6351275480322</v>
      </c>
      <c r="N79" s="4">
        <f>K79*N65</f>
        <v>2040.1170576077118</v>
      </c>
      <c r="O79" s="4">
        <f>L79*O65</f>
        <v>328.72702550960645</v>
      </c>
      <c r="P79" s="4">
        <f>K79*P65</f>
        <v>330.82979312557489</v>
      </c>
      <c r="Q79" s="4">
        <f>K79*Q65</f>
        <v>66.165958625114982</v>
      </c>
      <c r="R79" s="4">
        <f>K79*R65</f>
        <v>44.110639083409986</v>
      </c>
      <c r="S79" s="4">
        <f>K79*S65</f>
        <v>33.082979312557491</v>
      </c>
      <c r="T79" s="4">
        <f>K79*T65</f>
        <v>11.027659770852496</v>
      </c>
      <c r="U79" s="4">
        <f>SUM(M79:T79)</f>
        <v>4497.6962405828608</v>
      </c>
      <c r="V79" s="4">
        <f>U79*V65</f>
        <v>899.53924811657225</v>
      </c>
      <c r="W79" s="5">
        <f>U79+V79</f>
        <v>5397.2354886994326</v>
      </c>
    </row>
    <row r="89" spans="1:23" ht="21" x14ac:dyDescent="0.5">
      <c r="H89" s="16">
        <f>H90/G90</f>
        <v>46.062992125984252</v>
      </c>
      <c r="I89" s="16">
        <f>I90/G90</f>
        <v>31.889763779527559</v>
      </c>
      <c r="J89" s="16">
        <f>J90/G90</f>
        <v>18.897637795275593</v>
      </c>
      <c r="K89" s="12" t="s">
        <v>37</v>
      </c>
      <c r="L89" s="11"/>
      <c r="M89" s="11"/>
      <c r="N89" s="11"/>
      <c r="O89" s="11"/>
    </row>
    <row r="90" spans="1:23" ht="18.5" x14ac:dyDescent="0.45">
      <c r="A90" s="1">
        <v>2</v>
      </c>
      <c r="B90" s="1"/>
      <c r="C90" s="1"/>
      <c r="D90" s="1"/>
      <c r="E90" s="1"/>
      <c r="F90" s="1"/>
      <c r="G90" s="1">
        <v>25.4</v>
      </c>
      <c r="H90" s="10">
        <v>1170</v>
      </c>
      <c r="I90" s="10">
        <v>810</v>
      </c>
      <c r="J90" s="10">
        <v>480</v>
      </c>
      <c r="K90" s="10" t="s">
        <v>24</v>
      </c>
      <c r="L90" s="10">
        <v>9</v>
      </c>
      <c r="M90" s="10" t="s">
        <v>38</v>
      </c>
      <c r="N90" s="10" t="s">
        <v>24</v>
      </c>
      <c r="O90" s="13"/>
      <c r="P90" s="8"/>
      <c r="Q90" s="9"/>
      <c r="R90" s="1"/>
      <c r="S90" s="1"/>
      <c r="T90" s="1"/>
      <c r="U90" s="1"/>
      <c r="V90" s="1"/>
      <c r="W90" s="1"/>
    </row>
    <row r="91" spans="1:23" ht="15.5" x14ac:dyDescent="0.35">
      <c r="A91" s="4" t="s">
        <v>6</v>
      </c>
      <c r="B91" s="4" t="s">
        <v>7</v>
      </c>
      <c r="C91" s="4" t="s">
        <v>8</v>
      </c>
      <c r="D91" s="4" t="s">
        <v>19</v>
      </c>
      <c r="E91" s="4" t="s">
        <v>9</v>
      </c>
      <c r="F91" s="4" t="s">
        <v>20</v>
      </c>
      <c r="G91" s="4" t="s">
        <v>21</v>
      </c>
      <c r="H91" s="4" t="s">
        <v>1</v>
      </c>
      <c r="I91" s="4" t="s">
        <v>10</v>
      </c>
      <c r="J91" s="4" t="s">
        <v>25</v>
      </c>
      <c r="K91" s="4" t="s">
        <v>32</v>
      </c>
      <c r="L91" s="4" t="s">
        <v>32</v>
      </c>
      <c r="M91" s="4" t="s">
        <v>31</v>
      </c>
      <c r="N91" s="4" t="s">
        <v>11</v>
      </c>
      <c r="O91" s="4" t="s">
        <v>33</v>
      </c>
      <c r="P91" s="4" t="s">
        <v>12</v>
      </c>
      <c r="Q91" s="4" t="s">
        <v>13</v>
      </c>
      <c r="R91" s="4" t="s">
        <v>34</v>
      </c>
      <c r="S91" s="4" t="s">
        <v>35</v>
      </c>
      <c r="T91" s="4" t="s">
        <v>36</v>
      </c>
      <c r="U91" s="4" t="s">
        <v>0</v>
      </c>
      <c r="V91" s="4" t="s">
        <v>14</v>
      </c>
      <c r="W91" s="4" t="s">
        <v>15</v>
      </c>
    </row>
    <row r="92" spans="1:23" ht="15.5" x14ac:dyDescent="0.35">
      <c r="A92" s="2">
        <v>1</v>
      </c>
      <c r="B92" s="2" t="s">
        <v>18</v>
      </c>
      <c r="C92" s="2" t="s">
        <v>26</v>
      </c>
      <c r="D92" s="2" t="s">
        <v>2</v>
      </c>
      <c r="E92" s="2">
        <f>H90+100</f>
        <v>1270</v>
      </c>
      <c r="F92" s="2">
        <f>I90+80</f>
        <v>890</v>
      </c>
      <c r="G92" s="2"/>
      <c r="H92" s="2">
        <v>2</v>
      </c>
      <c r="I92" s="2"/>
      <c r="J92" s="15">
        <f>E92*F92*H92/304.8/304.8</f>
        <v>24.332895888013994</v>
      </c>
      <c r="K92" s="4">
        <f>I106*10%</f>
        <v>0.22044580351554988</v>
      </c>
      <c r="L92" s="4">
        <f>J106*10%</f>
        <v>4.761738690144047</v>
      </c>
      <c r="M92" s="4">
        <v>35</v>
      </c>
      <c r="N92" s="4">
        <v>925</v>
      </c>
      <c r="O92" s="4">
        <v>7</v>
      </c>
      <c r="P92" s="4">
        <v>150</v>
      </c>
      <c r="Q92" s="4">
        <v>30</v>
      </c>
      <c r="R92" s="4">
        <v>20</v>
      </c>
      <c r="S92" s="4">
        <v>15</v>
      </c>
      <c r="T92" s="4">
        <v>5</v>
      </c>
      <c r="U92" s="4"/>
      <c r="V92" s="14">
        <v>0.2</v>
      </c>
      <c r="W92" s="4"/>
    </row>
    <row r="93" spans="1:23" ht="15.5" x14ac:dyDescent="0.35">
      <c r="A93" s="2">
        <v>2</v>
      </c>
      <c r="B93" s="2" t="s">
        <v>18</v>
      </c>
      <c r="C93" s="2" t="s">
        <v>26</v>
      </c>
      <c r="D93" s="2" t="s">
        <v>3</v>
      </c>
      <c r="E93" s="2">
        <f>H90+100</f>
        <v>1270</v>
      </c>
      <c r="F93" s="2">
        <f>J90+40</f>
        <v>520</v>
      </c>
      <c r="G93" s="2"/>
      <c r="H93" s="2">
        <v>2</v>
      </c>
      <c r="I93" s="2"/>
      <c r="J93" s="15">
        <f>E93*F93*H93/304.8/304.8</f>
        <v>14.2169728783902</v>
      </c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7"/>
      <c r="W93" s="15"/>
    </row>
    <row r="94" spans="1:23" ht="15.5" x14ac:dyDescent="0.35">
      <c r="A94" s="2">
        <v>3</v>
      </c>
      <c r="B94" s="2" t="s">
        <v>18</v>
      </c>
      <c r="C94" s="2" t="s">
        <v>26</v>
      </c>
      <c r="D94" s="2" t="s">
        <v>4</v>
      </c>
      <c r="E94" s="2">
        <f>I90</f>
        <v>810</v>
      </c>
      <c r="F94" s="2">
        <f>J90+40</f>
        <v>520</v>
      </c>
      <c r="G94" s="2"/>
      <c r="H94" s="2">
        <v>2</v>
      </c>
      <c r="I94" s="2"/>
      <c r="J94" s="15">
        <f>E94*F94*H94/304.8/304.8</f>
        <v>9.0675181350362699</v>
      </c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spans="1:23" ht="15.5" x14ac:dyDescent="0.35">
      <c r="A95" s="2">
        <v>5</v>
      </c>
      <c r="B95" s="2" t="s">
        <v>18</v>
      </c>
      <c r="C95" s="2" t="s">
        <v>17</v>
      </c>
      <c r="D95" s="2" t="s">
        <v>16</v>
      </c>
      <c r="E95" s="2">
        <f>H90+100</f>
        <v>1270</v>
      </c>
      <c r="F95" s="2">
        <v>95</v>
      </c>
      <c r="G95" s="2">
        <v>17</v>
      </c>
      <c r="H95" s="2">
        <v>2</v>
      </c>
      <c r="I95" s="2">
        <f t="shared" ref="I95:I104" si="9">E95*F95*G95*H95/304.8/304.8/304.8</f>
        <v>0.14486429435821832</v>
      </c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spans="1:23" ht="15.5" x14ac:dyDescent="0.35">
      <c r="A96" s="2">
        <v>6</v>
      </c>
      <c r="B96" s="2" t="s">
        <v>18</v>
      </c>
      <c r="C96" s="2" t="s">
        <v>17</v>
      </c>
      <c r="D96" s="2" t="s">
        <v>27</v>
      </c>
      <c r="E96" s="2">
        <f>I90+80</f>
        <v>890</v>
      </c>
      <c r="F96" s="2">
        <v>95</v>
      </c>
      <c r="G96" s="2">
        <v>17</v>
      </c>
      <c r="H96" s="2">
        <v>3</v>
      </c>
      <c r="I96" s="2">
        <f t="shared" si="9"/>
        <v>0.15227860863639484</v>
      </c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spans="1:23" x14ac:dyDescent="0.35">
      <c r="A97" s="2">
        <v>6</v>
      </c>
      <c r="B97" s="2" t="s">
        <v>18</v>
      </c>
      <c r="C97" s="2" t="s">
        <v>17</v>
      </c>
      <c r="D97" s="2" t="s">
        <v>28</v>
      </c>
      <c r="E97" s="2">
        <f>H90+100</f>
        <v>1270</v>
      </c>
      <c r="F97" s="2">
        <v>95</v>
      </c>
      <c r="G97" s="2">
        <v>17</v>
      </c>
      <c r="H97" s="2">
        <v>5</v>
      </c>
      <c r="I97" s="2">
        <f t="shared" si="9"/>
        <v>0.36216073589554582</v>
      </c>
      <c r="J97" s="2"/>
      <c r="K97" s="2"/>
      <c r="L97" s="2"/>
      <c r="M97" s="2"/>
      <c r="N97" s="2"/>
      <c r="O97" s="2"/>
      <c r="P97" s="2"/>
      <c r="Q97" s="6"/>
      <c r="R97" s="6"/>
      <c r="S97" s="6"/>
      <c r="T97" s="6"/>
      <c r="U97" s="6"/>
      <c r="V97" s="7"/>
      <c r="W97" s="6"/>
    </row>
    <row r="98" spans="1:23" x14ac:dyDescent="0.35">
      <c r="A98" s="2">
        <v>6</v>
      </c>
      <c r="B98" s="2" t="s">
        <v>18</v>
      </c>
      <c r="C98" s="2" t="s">
        <v>17</v>
      </c>
      <c r="D98" s="2" t="s">
        <v>28</v>
      </c>
      <c r="E98" s="2">
        <f>I90+80</f>
        <v>890</v>
      </c>
      <c r="F98" s="2">
        <v>95</v>
      </c>
      <c r="G98" s="2">
        <v>17</v>
      </c>
      <c r="H98" s="2">
        <v>3</v>
      </c>
      <c r="I98" s="2">
        <f t="shared" si="9"/>
        <v>0.15227860863639484</v>
      </c>
      <c r="J98" s="2"/>
      <c r="K98" s="2"/>
      <c r="L98" s="2"/>
      <c r="M98" s="2"/>
      <c r="N98" s="2"/>
      <c r="O98" s="2"/>
      <c r="P98" s="2"/>
      <c r="Q98" s="6"/>
      <c r="R98" s="6"/>
      <c r="S98" s="6"/>
      <c r="T98" s="6"/>
      <c r="U98" s="6"/>
      <c r="V98" s="6"/>
      <c r="W98" s="6"/>
    </row>
    <row r="99" spans="1:23" x14ac:dyDescent="0.35">
      <c r="A99" s="2">
        <v>3</v>
      </c>
      <c r="B99" s="2" t="s">
        <v>18</v>
      </c>
      <c r="C99" s="2" t="s">
        <v>17</v>
      </c>
      <c r="D99" s="2" t="s">
        <v>29</v>
      </c>
      <c r="E99" s="2">
        <f>I90+80</f>
        <v>890</v>
      </c>
      <c r="F99" s="2">
        <v>95</v>
      </c>
      <c r="G99" s="2">
        <v>17</v>
      </c>
      <c r="H99" s="2">
        <v>3</v>
      </c>
      <c r="I99" s="2">
        <f t="shared" si="9"/>
        <v>0.15227860863639484</v>
      </c>
      <c r="J99" s="2"/>
      <c r="K99" s="2"/>
      <c r="L99" s="2"/>
      <c r="M99" s="2"/>
      <c r="N99" s="2"/>
      <c r="O99" s="2"/>
      <c r="P99" s="2"/>
      <c r="Q99" s="6"/>
      <c r="R99" s="6"/>
      <c r="S99" s="6"/>
      <c r="T99" s="6"/>
      <c r="U99" s="6"/>
      <c r="V99" s="6"/>
      <c r="W99" s="6"/>
    </row>
    <row r="100" spans="1:23" x14ac:dyDescent="0.35">
      <c r="A100" s="2">
        <v>6</v>
      </c>
      <c r="B100" s="2" t="s">
        <v>18</v>
      </c>
      <c r="C100" s="2" t="s">
        <v>17</v>
      </c>
      <c r="D100" s="2" t="s">
        <v>5</v>
      </c>
      <c r="E100" s="2">
        <f>H90+100</f>
        <v>1270</v>
      </c>
      <c r="F100" s="2">
        <v>95</v>
      </c>
      <c r="G100" s="2">
        <v>17</v>
      </c>
      <c r="H100" s="2">
        <v>4</v>
      </c>
      <c r="I100" s="2">
        <f t="shared" si="9"/>
        <v>0.28972858871643664</v>
      </c>
      <c r="J100" s="2"/>
      <c r="K100" s="2"/>
      <c r="L100" s="2"/>
      <c r="M100" s="2"/>
      <c r="N100" s="2"/>
      <c r="O100" s="2"/>
      <c r="P100" s="2"/>
      <c r="Q100" s="6"/>
      <c r="R100" s="6"/>
      <c r="S100" s="6"/>
      <c r="T100" s="6"/>
      <c r="U100" s="6"/>
      <c r="V100" s="6"/>
      <c r="W100" s="6"/>
    </row>
    <row r="101" spans="1:23" x14ac:dyDescent="0.35">
      <c r="A101" s="2">
        <v>6</v>
      </c>
      <c r="B101" s="2" t="s">
        <v>18</v>
      </c>
      <c r="C101" s="2" t="s">
        <v>17</v>
      </c>
      <c r="D101" s="2" t="s">
        <v>30</v>
      </c>
      <c r="E101" s="2">
        <f>J90+40</f>
        <v>520</v>
      </c>
      <c r="F101" s="2">
        <v>95</v>
      </c>
      <c r="G101" s="2">
        <v>17</v>
      </c>
      <c r="H101" s="2">
        <v>6</v>
      </c>
      <c r="I101" s="2">
        <f t="shared" si="9"/>
        <v>0.17794354267623669</v>
      </c>
      <c r="J101" s="2"/>
      <c r="K101" s="2"/>
      <c r="L101" s="2"/>
      <c r="M101" s="2"/>
      <c r="N101" s="2"/>
      <c r="O101" s="2"/>
      <c r="P101" s="2"/>
      <c r="Q101" s="6"/>
      <c r="R101" s="6"/>
      <c r="S101" s="6"/>
      <c r="T101" s="6"/>
      <c r="U101" s="6"/>
      <c r="V101" s="6"/>
      <c r="W101" s="6"/>
    </row>
    <row r="102" spans="1:23" x14ac:dyDescent="0.35">
      <c r="A102" s="2">
        <v>6</v>
      </c>
      <c r="B102" s="2" t="s">
        <v>18</v>
      </c>
      <c r="C102" s="2" t="s">
        <v>17</v>
      </c>
      <c r="D102" s="2" t="s">
        <v>22</v>
      </c>
      <c r="E102" s="2">
        <v>90</v>
      </c>
      <c r="F102" s="2">
        <v>90</v>
      </c>
      <c r="G102" s="2">
        <v>120</v>
      </c>
      <c r="H102" s="2">
        <v>9</v>
      </c>
      <c r="I102" s="2">
        <f t="shared" si="9"/>
        <v>0.30893270447958215</v>
      </c>
      <c r="J102" s="2"/>
      <c r="K102" s="2"/>
      <c r="L102" s="2"/>
      <c r="M102" s="2"/>
      <c r="N102" s="2"/>
      <c r="O102" s="2"/>
      <c r="P102" s="2"/>
      <c r="Q102" s="6"/>
      <c r="R102" s="6"/>
      <c r="S102" s="6"/>
      <c r="T102" s="6"/>
      <c r="U102" s="6"/>
      <c r="V102" s="6"/>
      <c r="W102" s="6"/>
    </row>
    <row r="103" spans="1:23" x14ac:dyDescent="0.35">
      <c r="A103" s="2">
        <v>4</v>
      </c>
      <c r="B103" s="2" t="s">
        <v>18</v>
      </c>
      <c r="C103" s="2" t="s">
        <v>17</v>
      </c>
      <c r="D103" s="2" t="s">
        <v>23</v>
      </c>
      <c r="E103" s="2">
        <f>J90+40</f>
        <v>520</v>
      </c>
      <c r="F103" s="2">
        <v>95</v>
      </c>
      <c r="G103" s="2">
        <v>17</v>
      </c>
      <c r="H103" s="2">
        <v>6</v>
      </c>
      <c r="I103" s="2">
        <f t="shared" si="9"/>
        <v>0.17794354267623669</v>
      </c>
      <c r="J103" s="2"/>
      <c r="K103" s="2"/>
      <c r="L103" s="2"/>
      <c r="M103" s="2"/>
      <c r="N103" s="2"/>
      <c r="O103" s="2"/>
      <c r="P103" s="2"/>
      <c r="Q103" s="6"/>
      <c r="R103" s="6"/>
      <c r="S103" s="6"/>
      <c r="T103" s="6"/>
      <c r="U103" s="6"/>
      <c r="V103" s="6"/>
      <c r="W103" s="6"/>
    </row>
    <row r="104" spans="1:23" x14ac:dyDescent="0.35">
      <c r="A104" s="2">
        <v>6</v>
      </c>
      <c r="B104" s="2" t="s">
        <v>18</v>
      </c>
      <c r="C104" s="2" t="s">
        <v>17</v>
      </c>
      <c r="D104" s="2" t="s">
        <v>22</v>
      </c>
      <c r="E104" s="2">
        <v>100</v>
      </c>
      <c r="F104" s="2">
        <v>100</v>
      </c>
      <c r="G104" s="2">
        <v>90</v>
      </c>
      <c r="H104" s="2">
        <f>L90</f>
        <v>9</v>
      </c>
      <c r="I104" s="2">
        <f t="shared" si="9"/>
        <v>0.28604880044405756</v>
      </c>
      <c r="J104" s="2"/>
      <c r="K104" s="2"/>
      <c r="L104" s="2"/>
      <c r="M104" s="2"/>
      <c r="N104" s="2"/>
      <c r="O104" s="2"/>
      <c r="P104" s="2"/>
      <c r="Q104" s="6"/>
      <c r="R104" s="6"/>
      <c r="S104" s="6"/>
      <c r="T104" s="6"/>
      <c r="U104" s="6"/>
      <c r="V104" s="6"/>
      <c r="W104" s="6"/>
    </row>
    <row r="105" spans="1:23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6"/>
      <c r="R105" s="6"/>
      <c r="S105" s="6"/>
      <c r="T105" s="6"/>
      <c r="U105" s="6"/>
      <c r="V105" s="6"/>
      <c r="W105" s="6"/>
    </row>
    <row r="106" spans="1:23" ht="15.5" x14ac:dyDescent="0.35">
      <c r="A106" s="3"/>
      <c r="B106" s="3"/>
      <c r="C106" s="3"/>
      <c r="D106" s="3"/>
      <c r="E106" s="3"/>
      <c r="F106" s="3"/>
      <c r="G106" s="3"/>
      <c r="H106" s="3"/>
      <c r="I106" s="4">
        <f>SUM(I95:I105)</f>
        <v>2.2044580351554988</v>
      </c>
      <c r="J106" s="4">
        <f>SUM(J92:J105)</f>
        <v>47.617386901440469</v>
      </c>
      <c r="K106" s="4">
        <f>I106+K92</f>
        <v>2.4249038386710486</v>
      </c>
      <c r="L106" s="4">
        <f>J106+L92</f>
        <v>52.379125591584518</v>
      </c>
      <c r="M106" s="4">
        <f>L106*M92</f>
        <v>1833.2693957054582</v>
      </c>
      <c r="N106" s="4">
        <f>K106*N92</f>
        <v>2243.0360507707201</v>
      </c>
      <c r="O106" s="4">
        <f>L106*O92</f>
        <v>366.65387914109164</v>
      </c>
      <c r="P106" s="4">
        <f>K106*P92</f>
        <v>363.73557580065727</v>
      </c>
      <c r="Q106" s="4">
        <f>K106*Q92</f>
        <v>72.747115160131457</v>
      </c>
      <c r="R106" s="4">
        <f>K106*R92</f>
        <v>48.498076773420976</v>
      </c>
      <c r="S106" s="4">
        <f>K106*S92</f>
        <v>36.373557580065729</v>
      </c>
      <c r="T106" s="4">
        <f>K106*T92</f>
        <v>12.124519193355244</v>
      </c>
      <c r="U106" s="4">
        <f>SUM(M106:T106)</f>
        <v>4976.4381701248994</v>
      </c>
      <c r="V106" s="4">
        <f>U106*V92</f>
        <v>995.28763402497998</v>
      </c>
      <c r="W106" s="5">
        <f>U106+V106</f>
        <v>5971.725804149879</v>
      </c>
    </row>
    <row r="124" spans="1:23" ht="21" x14ac:dyDescent="0.5">
      <c r="H124" s="16">
        <f>H125/G125</f>
        <v>60.629921259842526</v>
      </c>
      <c r="I124" s="16">
        <f>I125/G125</f>
        <v>23.228346456692915</v>
      </c>
      <c r="J124" s="16">
        <f>J125/G125</f>
        <v>39.370078740157481</v>
      </c>
      <c r="K124" s="12" t="s">
        <v>37</v>
      </c>
      <c r="L124" s="11"/>
      <c r="M124" s="11"/>
      <c r="N124" s="11"/>
      <c r="O124" s="11"/>
    </row>
    <row r="125" spans="1:23" ht="18.5" x14ac:dyDescent="0.45">
      <c r="A125" s="1">
        <v>3</v>
      </c>
      <c r="B125" s="1"/>
      <c r="C125" s="1"/>
      <c r="D125" s="1"/>
      <c r="E125" s="1"/>
      <c r="F125" s="1"/>
      <c r="G125" s="1">
        <v>25.4</v>
      </c>
      <c r="H125" s="10">
        <v>1540</v>
      </c>
      <c r="I125" s="10">
        <v>590</v>
      </c>
      <c r="J125" s="10">
        <v>1000</v>
      </c>
      <c r="K125" s="10" t="s">
        <v>24</v>
      </c>
      <c r="L125" s="10">
        <v>12</v>
      </c>
      <c r="M125" s="10" t="s">
        <v>38</v>
      </c>
      <c r="N125" s="10" t="s">
        <v>24</v>
      </c>
      <c r="O125" s="13"/>
      <c r="P125" s="8"/>
      <c r="Q125" s="9"/>
      <c r="R125" s="1"/>
      <c r="S125" s="1"/>
      <c r="T125" s="1"/>
      <c r="U125" s="1"/>
      <c r="V125" s="1"/>
      <c r="W125" s="1"/>
    </row>
    <row r="126" spans="1:23" ht="15.5" x14ac:dyDescent="0.35">
      <c r="A126" s="4" t="s">
        <v>6</v>
      </c>
      <c r="B126" s="4" t="s">
        <v>7</v>
      </c>
      <c r="C126" s="4" t="s">
        <v>8</v>
      </c>
      <c r="D126" s="4" t="s">
        <v>19</v>
      </c>
      <c r="E126" s="4" t="s">
        <v>9</v>
      </c>
      <c r="F126" s="4" t="s">
        <v>20</v>
      </c>
      <c r="G126" s="4" t="s">
        <v>21</v>
      </c>
      <c r="H126" s="4" t="s">
        <v>1</v>
      </c>
      <c r="I126" s="4" t="s">
        <v>10</v>
      </c>
      <c r="J126" s="4" t="s">
        <v>25</v>
      </c>
      <c r="K126" s="4" t="s">
        <v>32</v>
      </c>
      <c r="L126" s="4" t="s">
        <v>32</v>
      </c>
      <c r="M126" s="4" t="s">
        <v>31</v>
      </c>
      <c r="N126" s="4" t="s">
        <v>11</v>
      </c>
      <c r="O126" s="4" t="s">
        <v>33</v>
      </c>
      <c r="P126" s="4" t="s">
        <v>12</v>
      </c>
      <c r="Q126" s="4" t="s">
        <v>13</v>
      </c>
      <c r="R126" s="4" t="s">
        <v>34</v>
      </c>
      <c r="S126" s="4" t="s">
        <v>35</v>
      </c>
      <c r="T126" s="4" t="s">
        <v>36</v>
      </c>
      <c r="U126" s="4" t="s">
        <v>0</v>
      </c>
      <c r="V126" s="4" t="s">
        <v>14</v>
      </c>
      <c r="W126" s="4" t="s">
        <v>15</v>
      </c>
    </row>
    <row r="127" spans="1:23" ht="15.5" x14ac:dyDescent="0.35">
      <c r="A127" s="2">
        <v>1</v>
      </c>
      <c r="B127" s="2" t="s">
        <v>18</v>
      </c>
      <c r="C127" s="2" t="s">
        <v>26</v>
      </c>
      <c r="D127" s="2" t="s">
        <v>2</v>
      </c>
      <c r="E127" s="2">
        <f>H125+100</f>
        <v>1640</v>
      </c>
      <c r="F127" s="2">
        <f>I125+80</f>
        <v>670</v>
      </c>
      <c r="G127" s="2"/>
      <c r="H127" s="2">
        <v>2</v>
      </c>
      <c r="I127" s="2"/>
      <c r="J127" s="15">
        <f>E127*F127*H127/304.8/304.8</f>
        <v>23.654769531761282</v>
      </c>
      <c r="K127" s="4">
        <f>I142*10%</f>
        <v>0.30170026073502132</v>
      </c>
      <c r="L127" s="4">
        <f>J142*10%</f>
        <v>7.3582091608627653</v>
      </c>
      <c r="M127" s="4">
        <v>38</v>
      </c>
      <c r="N127" s="4">
        <v>925</v>
      </c>
      <c r="O127" s="4">
        <v>10</v>
      </c>
      <c r="P127" s="4">
        <v>200</v>
      </c>
      <c r="Q127" s="4">
        <v>30</v>
      </c>
      <c r="R127" s="4">
        <v>20</v>
      </c>
      <c r="S127" s="4">
        <v>15</v>
      </c>
      <c r="T127" s="4">
        <v>10</v>
      </c>
      <c r="U127" s="4"/>
      <c r="V127" s="14">
        <v>0.2</v>
      </c>
      <c r="W127" s="4"/>
    </row>
    <row r="128" spans="1:23" ht="15.5" x14ac:dyDescent="0.35">
      <c r="A128" s="2">
        <v>2</v>
      </c>
      <c r="B128" s="2" t="s">
        <v>18</v>
      </c>
      <c r="C128" s="2" t="s">
        <v>26</v>
      </c>
      <c r="D128" s="2" t="s">
        <v>3</v>
      </c>
      <c r="E128" s="2">
        <f>H125+100</f>
        <v>1640</v>
      </c>
      <c r="F128" s="2">
        <f>J125+40</f>
        <v>1040</v>
      </c>
      <c r="G128" s="2"/>
      <c r="H128" s="2">
        <v>2</v>
      </c>
      <c r="I128" s="2"/>
      <c r="J128" s="15">
        <f>E128*F128*H128/304.8/304.8</f>
        <v>36.717851213480202</v>
      </c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spans="1:23" ht="15.5" x14ac:dyDescent="0.35">
      <c r="A129" s="2">
        <v>3</v>
      </c>
      <c r="B129" s="2" t="s">
        <v>18</v>
      </c>
      <c r="C129" s="2" t="s">
        <v>26</v>
      </c>
      <c r="D129" s="2" t="s">
        <v>4</v>
      </c>
      <c r="E129" s="2">
        <f>I125</f>
        <v>590</v>
      </c>
      <c r="F129" s="2">
        <f>J125+40</f>
        <v>1040</v>
      </c>
      <c r="G129" s="2"/>
      <c r="H129" s="2">
        <v>2</v>
      </c>
      <c r="I129" s="2"/>
      <c r="J129" s="15">
        <f>E129*F129*H129/304.8/304.8</f>
        <v>13.209470863386171</v>
      </c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spans="1:23" ht="15.5" x14ac:dyDescent="0.35">
      <c r="A130" s="2">
        <v>5</v>
      </c>
      <c r="B130" s="2" t="s">
        <v>18</v>
      </c>
      <c r="C130" s="2" t="s">
        <v>17</v>
      </c>
      <c r="D130" s="2" t="s">
        <v>16</v>
      </c>
      <c r="E130" s="2">
        <f>H125+100</f>
        <v>1640</v>
      </c>
      <c r="F130" s="2">
        <v>100</v>
      </c>
      <c r="G130" s="2">
        <v>19</v>
      </c>
      <c r="H130" s="2">
        <v>2</v>
      </c>
      <c r="I130" s="2">
        <f t="shared" ref="I130:I140" si="10">E130*F130*G130*H130/304.8/304.8/304.8</f>
        <v>0.22008100300831687</v>
      </c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spans="1:23" ht="15.5" x14ac:dyDescent="0.35">
      <c r="A131" s="2">
        <v>6</v>
      </c>
      <c r="B131" s="2" t="s">
        <v>18</v>
      </c>
      <c r="C131" s="2" t="s">
        <v>17</v>
      </c>
      <c r="D131" s="2" t="s">
        <v>27</v>
      </c>
      <c r="E131" s="2">
        <f>I125+80</f>
        <v>670</v>
      </c>
      <c r="F131" s="2">
        <v>100</v>
      </c>
      <c r="G131" s="2">
        <v>19</v>
      </c>
      <c r="H131" s="2">
        <v>4</v>
      </c>
      <c r="I131" s="2">
        <f t="shared" si="10"/>
        <v>0.17982228294581987</v>
      </c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spans="1:23" x14ac:dyDescent="0.35">
      <c r="A132" s="2">
        <v>6</v>
      </c>
      <c r="B132" s="2" t="s">
        <v>18</v>
      </c>
      <c r="C132" s="2" t="s">
        <v>17</v>
      </c>
      <c r="D132" s="2" t="s">
        <v>28</v>
      </c>
      <c r="E132" s="2">
        <f>H125+100</f>
        <v>1640</v>
      </c>
      <c r="F132" s="2">
        <v>100</v>
      </c>
      <c r="G132" s="2">
        <v>19</v>
      </c>
      <c r="H132" s="2">
        <v>4</v>
      </c>
      <c r="I132" s="2">
        <f t="shared" si="10"/>
        <v>0.44016200601663374</v>
      </c>
      <c r="J132" s="2"/>
      <c r="K132" s="2"/>
      <c r="L132" s="2"/>
      <c r="M132" s="2"/>
      <c r="N132" s="2"/>
      <c r="O132" s="2"/>
      <c r="P132" s="2"/>
      <c r="Q132" s="6"/>
      <c r="R132" s="6"/>
      <c r="S132" s="6"/>
      <c r="T132" s="6"/>
      <c r="U132" s="6"/>
      <c r="V132" s="7"/>
      <c r="W132" s="6"/>
    </row>
    <row r="133" spans="1:23" x14ac:dyDescent="0.35">
      <c r="A133" s="2">
        <v>6</v>
      </c>
      <c r="B133" s="2" t="s">
        <v>18</v>
      </c>
      <c r="C133" s="2" t="s">
        <v>17</v>
      </c>
      <c r="D133" s="2" t="s">
        <v>28</v>
      </c>
      <c r="E133" s="2">
        <f>I125+80</f>
        <v>670</v>
      </c>
      <c r="F133" s="2">
        <v>100</v>
      </c>
      <c r="G133" s="2">
        <v>19</v>
      </c>
      <c r="H133" s="2">
        <v>4</v>
      </c>
      <c r="I133" s="2">
        <f t="shared" si="10"/>
        <v>0.17982228294581987</v>
      </c>
      <c r="J133" s="2"/>
      <c r="K133" s="2"/>
      <c r="L133" s="2"/>
      <c r="M133" s="2"/>
      <c r="N133" s="2"/>
      <c r="O133" s="2"/>
      <c r="P133" s="2"/>
      <c r="Q133" s="6"/>
      <c r="R133" s="6"/>
      <c r="S133" s="6"/>
      <c r="T133" s="6"/>
      <c r="U133" s="6"/>
      <c r="V133" s="6"/>
      <c r="W133" s="6"/>
    </row>
    <row r="134" spans="1:23" x14ac:dyDescent="0.35">
      <c r="A134" s="2">
        <v>3</v>
      </c>
      <c r="B134" s="2" t="s">
        <v>18</v>
      </c>
      <c r="C134" s="2" t="s">
        <v>17</v>
      </c>
      <c r="D134" s="2" t="s">
        <v>29</v>
      </c>
      <c r="E134" s="2">
        <f>I125+80</f>
        <v>670</v>
      </c>
      <c r="F134" s="2">
        <v>100</v>
      </c>
      <c r="G134" s="2">
        <v>19</v>
      </c>
      <c r="H134" s="2">
        <v>4</v>
      </c>
      <c r="I134" s="2">
        <f t="shared" ref="I134" si="11">E134*F134*G134*H134/304.8/304.8/304.8</f>
        <v>0.17982228294581987</v>
      </c>
      <c r="J134" s="2"/>
      <c r="K134" s="2"/>
      <c r="L134" s="2"/>
      <c r="M134" s="2"/>
      <c r="N134" s="2"/>
      <c r="O134" s="2"/>
      <c r="P134" s="2"/>
      <c r="Q134" s="6"/>
      <c r="R134" s="6"/>
      <c r="S134" s="6"/>
      <c r="T134" s="6"/>
      <c r="U134" s="6"/>
      <c r="V134" s="6"/>
      <c r="W134" s="6"/>
    </row>
    <row r="135" spans="1:23" x14ac:dyDescent="0.35">
      <c r="A135" s="2">
        <v>3</v>
      </c>
      <c r="B135" s="2" t="s">
        <v>18</v>
      </c>
      <c r="C135" s="2" t="s">
        <v>17</v>
      </c>
      <c r="D135" s="2" t="s">
        <v>29</v>
      </c>
      <c r="E135" s="2">
        <f>I125+80</f>
        <v>670</v>
      </c>
      <c r="F135" s="2">
        <v>100</v>
      </c>
      <c r="G135" s="2">
        <v>19</v>
      </c>
      <c r="H135" s="2">
        <v>0</v>
      </c>
      <c r="I135" s="2">
        <f t="shared" si="10"/>
        <v>0</v>
      </c>
      <c r="J135" s="2"/>
      <c r="K135" s="2"/>
      <c r="L135" s="2"/>
      <c r="M135" s="2"/>
      <c r="N135" s="2"/>
      <c r="O135" s="2"/>
      <c r="P135" s="2"/>
      <c r="Q135" s="6"/>
      <c r="R135" s="6"/>
      <c r="S135" s="6"/>
      <c r="T135" s="6"/>
      <c r="U135" s="6"/>
      <c r="V135" s="6"/>
      <c r="W135" s="6"/>
    </row>
    <row r="136" spans="1:23" x14ac:dyDescent="0.35">
      <c r="A136" s="2">
        <v>6</v>
      </c>
      <c r="B136" s="2" t="s">
        <v>18</v>
      </c>
      <c r="C136" s="2" t="s">
        <v>17</v>
      </c>
      <c r="D136" s="2" t="s">
        <v>5</v>
      </c>
      <c r="E136" s="2">
        <f>H125+100</f>
        <v>1640</v>
      </c>
      <c r="F136" s="2">
        <v>100</v>
      </c>
      <c r="G136" s="2">
        <v>19</v>
      </c>
      <c r="H136" s="2">
        <v>4</v>
      </c>
      <c r="I136" s="2">
        <f t="shared" si="10"/>
        <v>0.44016200601663374</v>
      </c>
      <c r="J136" s="2"/>
      <c r="K136" s="2"/>
      <c r="L136" s="2"/>
      <c r="M136" s="2"/>
      <c r="N136" s="2"/>
      <c r="O136" s="2"/>
      <c r="P136" s="2"/>
      <c r="Q136" s="6"/>
      <c r="R136" s="6"/>
      <c r="S136" s="6"/>
      <c r="T136" s="6"/>
      <c r="U136" s="6"/>
      <c r="V136" s="6"/>
      <c r="W136" s="6"/>
    </row>
    <row r="137" spans="1:23" x14ac:dyDescent="0.35">
      <c r="A137" s="2">
        <v>6</v>
      </c>
      <c r="B137" s="2" t="s">
        <v>18</v>
      </c>
      <c r="C137" s="2" t="s">
        <v>17</v>
      </c>
      <c r="D137" s="2" t="s">
        <v>30</v>
      </c>
      <c r="E137" s="2">
        <f>J125+40</f>
        <v>1040</v>
      </c>
      <c r="F137" s="2">
        <v>100</v>
      </c>
      <c r="G137" s="2">
        <v>19</v>
      </c>
      <c r="H137" s="2">
        <v>8</v>
      </c>
      <c r="I137" s="2">
        <f t="shared" si="10"/>
        <v>0.55825425153329145</v>
      </c>
      <c r="J137" s="2"/>
      <c r="K137" s="2"/>
      <c r="L137" s="2"/>
      <c r="M137" s="2"/>
      <c r="N137" s="2"/>
      <c r="O137" s="2"/>
      <c r="P137" s="2"/>
      <c r="Q137" s="6"/>
      <c r="R137" s="6"/>
      <c r="S137" s="6"/>
      <c r="T137" s="6"/>
      <c r="U137" s="6"/>
      <c r="V137" s="6"/>
      <c r="W137" s="6"/>
    </row>
    <row r="138" spans="1:23" x14ac:dyDescent="0.35">
      <c r="A138" s="2">
        <v>6</v>
      </c>
      <c r="B138" s="2" t="s">
        <v>18</v>
      </c>
      <c r="C138" s="2" t="s">
        <v>17</v>
      </c>
      <c r="D138" s="2" t="s">
        <v>22</v>
      </c>
      <c r="E138" s="2">
        <f>I125</f>
        <v>590</v>
      </c>
      <c r="F138" s="2">
        <v>100</v>
      </c>
      <c r="G138" s="2">
        <v>19</v>
      </c>
      <c r="H138" s="2">
        <v>4</v>
      </c>
      <c r="I138" s="2">
        <f t="shared" si="10"/>
        <v>0.15835096557915485</v>
      </c>
      <c r="J138" s="2"/>
      <c r="K138" s="2"/>
      <c r="L138" s="2"/>
      <c r="M138" s="2"/>
      <c r="N138" s="2"/>
      <c r="O138" s="2"/>
      <c r="P138" s="2"/>
      <c r="Q138" s="6"/>
      <c r="R138" s="6"/>
      <c r="S138" s="6"/>
      <c r="T138" s="6"/>
      <c r="U138" s="6"/>
      <c r="V138" s="6"/>
      <c r="W138" s="6"/>
    </row>
    <row r="139" spans="1:23" x14ac:dyDescent="0.35">
      <c r="A139" s="2">
        <v>4</v>
      </c>
      <c r="B139" s="2" t="s">
        <v>18</v>
      </c>
      <c r="C139" s="2" t="s">
        <v>17</v>
      </c>
      <c r="D139" s="2" t="s">
        <v>23</v>
      </c>
      <c r="E139" s="2">
        <f>J125+40</f>
        <v>1040</v>
      </c>
      <c r="F139" s="2">
        <v>100</v>
      </c>
      <c r="G139" s="2">
        <v>19</v>
      </c>
      <c r="H139" s="2">
        <v>4</v>
      </c>
      <c r="I139" s="2">
        <f t="shared" si="10"/>
        <v>0.27912712576664572</v>
      </c>
      <c r="J139" s="2"/>
      <c r="K139" s="2"/>
      <c r="L139" s="2"/>
      <c r="M139" s="2"/>
      <c r="N139" s="2"/>
      <c r="O139" s="2"/>
      <c r="P139" s="2"/>
      <c r="Q139" s="6"/>
      <c r="R139" s="6"/>
      <c r="S139" s="6"/>
      <c r="T139" s="6"/>
      <c r="U139" s="6"/>
      <c r="V139" s="6"/>
      <c r="W139" s="6"/>
    </row>
    <row r="140" spans="1:23" x14ac:dyDescent="0.35">
      <c r="A140" s="2">
        <v>6</v>
      </c>
      <c r="B140" s="2" t="s">
        <v>18</v>
      </c>
      <c r="C140" s="2" t="s">
        <v>17</v>
      </c>
      <c r="D140" s="2" t="s">
        <v>22</v>
      </c>
      <c r="E140" s="2">
        <v>100</v>
      </c>
      <c r="F140" s="2">
        <v>100</v>
      </c>
      <c r="G140" s="2">
        <v>90</v>
      </c>
      <c r="H140" s="2">
        <f>L125</f>
        <v>12</v>
      </c>
      <c r="I140" s="2">
        <f t="shared" si="10"/>
        <v>0.38139840059207675</v>
      </c>
      <c r="J140" s="2"/>
      <c r="K140" s="2"/>
      <c r="L140" s="2"/>
      <c r="M140" s="2"/>
      <c r="N140" s="2"/>
      <c r="O140" s="2"/>
      <c r="P140" s="2"/>
      <c r="Q140" s="6"/>
      <c r="R140" s="6"/>
      <c r="S140" s="6"/>
      <c r="T140" s="6"/>
      <c r="U140" s="6"/>
      <c r="V140" s="6"/>
      <c r="W140" s="6"/>
    </row>
    <row r="141" spans="1:23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6"/>
      <c r="R141" s="6"/>
      <c r="S141" s="6"/>
      <c r="T141" s="6"/>
      <c r="U141" s="6"/>
      <c r="V141" s="6"/>
      <c r="W141" s="6"/>
    </row>
    <row r="142" spans="1:23" ht="15.5" x14ac:dyDescent="0.35">
      <c r="A142" s="3"/>
      <c r="B142" s="3"/>
      <c r="C142" s="3"/>
      <c r="D142" s="3"/>
      <c r="E142" s="3"/>
      <c r="F142" s="3"/>
      <c r="G142" s="3"/>
      <c r="H142" s="3"/>
      <c r="I142" s="4">
        <f>SUM(I130:I141)</f>
        <v>3.017002607350213</v>
      </c>
      <c r="J142" s="4">
        <f>SUM(J127:J141)</f>
        <v>73.58209160862765</v>
      </c>
      <c r="K142" s="4">
        <f>I142+K127</f>
        <v>3.3187028680852344</v>
      </c>
      <c r="L142" s="4">
        <f>J142+L127</f>
        <v>80.94030076949042</v>
      </c>
      <c r="M142" s="4">
        <f>L142*M127</f>
        <v>3075.7314292406359</v>
      </c>
      <c r="N142" s="4">
        <f>K142*N127</f>
        <v>3069.8001529788417</v>
      </c>
      <c r="O142" s="4">
        <f>L142*O127</f>
        <v>809.4030076949042</v>
      </c>
      <c r="P142" s="4">
        <f>K142*P127</f>
        <v>663.74057361704683</v>
      </c>
      <c r="Q142" s="4">
        <f>K142*Q127</f>
        <v>99.561086042557037</v>
      </c>
      <c r="R142" s="4">
        <f>K142*R127</f>
        <v>66.374057361704686</v>
      </c>
      <c r="S142" s="4">
        <f>K142*S127</f>
        <v>49.780543021278518</v>
      </c>
      <c r="T142" s="4">
        <f>K142*T127</f>
        <v>33.187028680852343</v>
      </c>
      <c r="U142" s="4">
        <f>SUM(M142:T142)</f>
        <v>7867.5778786378205</v>
      </c>
      <c r="V142" s="4">
        <f>U142*V127</f>
        <v>1573.5155757275643</v>
      </c>
      <c r="W142" s="5">
        <f>U142+V142</f>
        <v>9441.0934543653857</v>
      </c>
    </row>
    <row r="149" spans="1:23" ht="21" x14ac:dyDescent="0.5">
      <c r="H149" s="16">
        <f>H150/G150</f>
        <v>68.110236220472444</v>
      </c>
      <c r="I149" s="16">
        <f>I150/G150</f>
        <v>23.228346456692915</v>
      </c>
      <c r="J149" s="16">
        <f>J150/G150</f>
        <v>39.370078740157481</v>
      </c>
      <c r="K149" s="12" t="s">
        <v>37</v>
      </c>
      <c r="L149" s="11"/>
      <c r="M149" s="11"/>
      <c r="N149" s="11"/>
      <c r="O149" s="11"/>
    </row>
    <row r="150" spans="1:23" ht="18.5" x14ac:dyDescent="0.45">
      <c r="A150" s="1">
        <v>4</v>
      </c>
      <c r="B150" s="1"/>
      <c r="C150" s="1"/>
      <c r="D150" s="1"/>
      <c r="E150" s="1"/>
      <c r="F150" s="1"/>
      <c r="G150" s="1">
        <v>25.4</v>
      </c>
      <c r="H150" s="10">
        <v>1730</v>
      </c>
      <c r="I150" s="10">
        <v>590</v>
      </c>
      <c r="J150" s="10">
        <v>1000</v>
      </c>
      <c r="K150" s="10" t="s">
        <v>24</v>
      </c>
      <c r="L150" s="10">
        <v>12</v>
      </c>
      <c r="M150" s="10" t="s">
        <v>38</v>
      </c>
      <c r="N150" s="10" t="s">
        <v>24</v>
      </c>
      <c r="O150" s="13"/>
      <c r="P150" s="8"/>
      <c r="Q150" s="9"/>
      <c r="R150" s="1"/>
      <c r="S150" s="1"/>
      <c r="T150" s="1"/>
      <c r="U150" s="1"/>
      <c r="V150" s="1"/>
      <c r="W150" s="1"/>
    </row>
    <row r="151" spans="1:23" ht="15.5" x14ac:dyDescent="0.35">
      <c r="A151" s="4" t="s">
        <v>6</v>
      </c>
      <c r="B151" s="4" t="s">
        <v>7</v>
      </c>
      <c r="C151" s="4" t="s">
        <v>8</v>
      </c>
      <c r="D151" s="4" t="s">
        <v>19</v>
      </c>
      <c r="E151" s="4" t="s">
        <v>9</v>
      </c>
      <c r="F151" s="4" t="s">
        <v>20</v>
      </c>
      <c r="G151" s="4" t="s">
        <v>21</v>
      </c>
      <c r="H151" s="4" t="s">
        <v>1</v>
      </c>
      <c r="I151" s="4" t="s">
        <v>10</v>
      </c>
      <c r="J151" s="4" t="s">
        <v>25</v>
      </c>
      <c r="K151" s="4" t="s">
        <v>32</v>
      </c>
      <c r="L151" s="4" t="s">
        <v>32</v>
      </c>
      <c r="M151" s="4" t="s">
        <v>31</v>
      </c>
      <c r="N151" s="4" t="s">
        <v>11</v>
      </c>
      <c r="O151" s="4" t="s">
        <v>33</v>
      </c>
      <c r="P151" s="4" t="s">
        <v>12</v>
      </c>
      <c r="Q151" s="4" t="s">
        <v>13</v>
      </c>
      <c r="R151" s="4" t="s">
        <v>34</v>
      </c>
      <c r="S151" s="4" t="s">
        <v>35</v>
      </c>
      <c r="T151" s="4" t="s">
        <v>36</v>
      </c>
      <c r="U151" s="4" t="s">
        <v>0</v>
      </c>
      <c r="V151" s="4" t="s">
        <v>14</v>
      </c>
      <c r="W151" s="4" t="s">
        <v>15</v>
      </c>
    </row>
    <row r="152" spans="1:23" ht="15.5" x14ac:dyDescent="0.35">
      <c r="A152" s="2">
        <v>1</v>
      </c>
      <c r="B152" s="2" t="s">
        <v>18</v>
      </c>
      <c r="C152" s="2" t="s">
        <v>26</v>
      </c>
      <c r="D152" s="2" t="s">
        <v>2</v>
      </c>
      <c r="E152" s="2">
        <f>H150+100</f>
        <v>1830</v>
      </c>
      <c r="F152" s="2">
        <f>I150+80</f>
        <v>670</v>
      </c>
      <c r="G152" s="2"/>
      <c r="H152" s="2">
        <v>2</v>
      </c>
      <c r="I152" s="2"/>
      <c r="J152" s="15">
        <f>E152*F152*H152/304.8/304.8</f>
        <v>26.395261123855576</v>
      </c>
      <c r="K152" s="4">
        <f>I167*10%</f>
        <v>0.31444885542147866</v>
      </c>
      <c r="L152" s="4">
        <f>J167*10%</f>
        <v>8.0576480597405631</v>
      </c>
      <c r="M152" s="4">
        <v>38</v>
      </c>
      <c r="N152" s="4">
        <v>925</v>
      </c>
      <c r="O152" s="4">
        <v>10</v>
      </c>
      <c r="P152" s="4">
        <v>200</v>
      </c>
      <c r="Q152" s="4">
        <v>30</v>
      </c>
      <c r="R152" s="4">
        <v>20</v>
      </c>
      <c r="S152" s="4">
        <v>10</v>
      </c>
      <c r="T152" s="4">
        <v>10</v>
      </c>
      <c r="U152" s="4"/>
      <c r="V152" s="14">
        <v>0.2</v>
      </c>
      <c r="W152" s="4"/>
    </row>
    <row r="153" spans="1:23" ht="15.5" x14ac:dyDescent="0.35">
      <c r="A153" s="2">
        <v>2</v>
      </c>
      <c r="B153" s="2" t="s">
        <v>18</v>
      </c>
      <c r="C153" s="2" t="s">
        <v>26</v>
      </c>
      <c r="D153" s="2" t="s">
        <v>3</v>
      </c>
      <c r="E153" s="2">
        <f>H150+100</f>
        <v>1830</v>
      </c>
      <c r="F153" s="2">
        <f>J150+40</f>
        <v>1040</v>
      </c>
      <c r="G153" s="2"/>
      <c r="H153" s="2">
        <v>2</v>
      </c>
      <c r="I153" s="2"/>
      <c r="J153" s="15">
        <f>E153*F153*H153/304.8/304.8</f>
        <v>40.971748610163885</v>
      </c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spans="1:23" ht="15.5" x14ac:dyDescent="0.35">
      <c r="A154" s="2">
        <v>3</v>
      </c>
      <c r="B154" s="2" t="s">
        <v>18</v>
      </c>
      <c r="C154" s="2" t="s">
        <v>26</v>
      </c>
      <c r="D154" s="2" t="s">
        <v>4</v>
      </c>
      <c r="E154" s="2">
        <f>I150</f>
        <v>590</v>
      </c>
      <c r="F154" s="2">
        <f>J150+40</f>
        <v>1040</v>
      </c>
      <c r="G154" s="2"/>
      <c r="H154" s="2">
        <v>2</v>
      </c>
      <c r="I154" s="2"/>
      <c r="J154" s="15">
        <f>E154*F154*H154/304.8/304.8</f>
        <v>13.209470863386171</v>
      </c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spans="1:23" ht="15.5" x14ac:dyDescent="0.35">
      <c r="A155" s="2">
        <v>5</v>
      </c>
      <c r="B155" s="2" t="s">
        <v>18</v>
      </c>
      <c r="C155" s="2" t="s">
        <v>17</v>
      </c>
      <c r="D155" s="2" t="s">
        <v>16</v>
      </c>
      <c r="E155" s="2">
        <f>H150+100</f>
        <v>1830</v>
      </c>
      <c r="F155" s="2">
        <v>100</v>
      </c>
      <c r="G155" s="2">
        <v>19</v>
      </c>
      <c r="H155" s="2">
        <v>2</v>
      </c>
      <c r="I155" s="2">
        <f t="shared" ref="I155:I165" si="12">E155*F155*G155*H155/304.8/304.8/304.8</f>
        <v>0.2455781923812316</v>
      </c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spans="1:23" ht="15.5" x14ac:dyDescent="0.35">
      <c r="A156" s="2">
        <v>6</v>
      </c>
      <c r="B156" s="2" t="s">
        <v>18</v>
      </c>
      <c r="C156" s="2" t="s">
        <v>17</v>
      </c>
      <c r="D156" s="2" t="s">
        <v>27</v>
      </c>
      <c r="E156" s="2">
        <f>I150+80</f>
        <v>670</v>
      </c>
      <c r="F156" s="2">
        <v>100</v>
      </c>
      <c r="G156" s="2">
        <v>19</v>
      </c>
      <c r="H156" s="2">
        <v>4</v>
      </c>
      <c r="I156" s="2">
        <f t="shared" si="12"/>
        <v>0.17982228294581987</v>
      </c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spans="1:23" x14ac:dyDescent="0.35">
      <c r="A157" s="2">
        <v>6</v>
      </c>
      <c r="B157" s="2" t="s">
        <v>18</v>
      </c>
      <c r="C157" s="2" t="s">
        <v>17</v>
      </c>
      <c r="D157" s="2" t="s">
        <v>28</v>
      </c>
      <c r="E157" s="2">
        <f>H150+100</f>
        <v>1830</v>
      </c>
      <c r="F157" s="2">
        <v>100</v>
      </c>
      <c r="G157" s="2">
        <v>19</v>
      </c>
      <c r="H157" s="2">
        <v>4</v>
      </c>
      <c r="I157" s="2">
        <f t="shared" si="12"/>
        <v>0.49115638476246321</v>
      </c>
      <c r="J157" s="2"/>
      <c r="K157" s="2"/>
      <c r="L157" s="2"/>
      <c r="M157" s="2"/>
      <c r="N157" s="2"/>
      <c r="O157" s="2"/>
      <c r="P157" s="2"/>
      <c r="Q157" s="6"/>
      <c r="R157" s="6"/>
      <c r="S157" s="6"/>
      <c r="T157" s="6"/>
      <c r="U157" s="6"/>
      <c r="V157" s="7"/>
      <c r="W157" s="6"/>
    </row>
    <row r="158" spans="1:23" x14ac:dyDescent="0.35">
      <c r="A158" s="2">
        <v>6</v>
      </c>
      <c r="B158" s="2" t="s">
        <v>18</v>
      </c>
      <c r="C158" s="2" t="s">
        <v>17</v>
      </c>
      <c r="D158" s="2" t="s">
        <v>28</v>
      </c>
      <c r="E158" s="2">
        <f>I150+80</f>
        <v>670</v>
      </c>
      <c r="F158" s="2">
        <v>100</v>
      </c>
      <c r="G158" s="2">
        <v>19</v>
      </c>
      <c r="H158" s="2">
        <v>4</v>
      </c>
      <c r="I158" s="2">
        <f t="shared" si="12"/>
        <v>0.17982228294581987</v>
      </c>
      <c r="J158" s="2"/>
      <c r="K158" s="2"/>
      <c r="L158" s="2"/>
      <c r="M158" s="2"/>
      <c r="N158" s="2"/>
      <c r="O158" s="2"/>
      <c r="P158" s="2"/>
      <c r="Q158" s="6"/>
      <c r="R158" s="6"/>
      <c r="S158" s="6"/>
      <c r="T158" s="6"/>
      <c r="U158" s="6"/>
      <c r="V158" s="6"/>
      <c r="W158" s="6"/>
    </row>
    <row r="159" spans="1:23" x14ac:dyDescent="0.35">
      <c r="A159" s="2">
        <v>3</v>
      </c>
      <c r="B159" s="2" t="s">
        <v>18</v>
      </c>
      <c r="C159" s="2" t="s">
        <v>17</v>
      </c>
      <c r="D159" s="2" t="s">
        <v>29</v>
      </c>
      <c r="E159" s="2">
        <f>I150+80</f>
        <v>670</v>
      </c>
      <c r="F159" s="2">
        <v>100</v>
      </c>
      <c r="G159" s="2">
        <v>19</v>
      </c>
      <c r="H159" s="2">
        <v>4</v>
      </c>
      <c r="I159" s="2">
        <f t="shared" ref="I159" si="13">E159*F159*G159*H159/304.8/304.8/304.8</f>
        <v>0.17982228294581987</v>
      </c>
      <c r="J159" s="2"/>
      <c r="K159" s="2"/>
      <c r="L159" s="2"/>
      <c r="M159" s="2"/>
      <c r="N159" s="2"/>
      <c r="O159" s="2"/>
      <c r="P159" s="2"/>
      <c r="Q159" s="6"/>
      <c r="R159" s="6"/>
      <c r="S159" s="6"/>
      <c r="T159" s="6"/>
      <c r="U159" s="6"/>
      <c r="V159" s="6"/>
      <c r="W159" s="6"/>
    </row>
    <row r="160" spans="1:23" x14ac:dyDescent="0.35">
      <c r="A160" s="2">
        <v>3</v>
      </c>
      <c r="B160" s="2" t="s">
        <v>18</v>
      </c>
      <c r="C160" s="2" t="s">
        <v>17</v>
      </c>
      <c r="D160" s="2" t="s">
        <v>29</v>
      </c>
      <c r="E160" s="2">
        <f>I150+80</f>
        <v>670</v>
      </c>
      <c r="F160" s="2">
        <v>100</v>
      </c>
      <c r="G160" s="2">
        <v>19</v>
      </c>
      <c r="H160" s="2">
        <v>0</v>
      </c>
      <c r="I160" s="2">
        <f t="shared" si="12"/>
        <v>0</v>
      </c>
      <c r="J160" s="2"/>
      <c r="K160" s="2"/>
      <c r="L160" s="2"/>
      <c r="M160" s="2"/>
      <c r="N160" s="2"/>
      <c r="O160" s="2"/>
      <c r="P160" s="2"/>
      <c r="Q160" s="6"/>
      <c r="R160" s="6"/>
      <c r="S160" s="6"/>
      <c r="T160" s="6"/>
      <c r="U160" s="6"/>
      <c r="V160" s="6"/>
      <c r="W160" s="6"/>
    </row>
    <row r="161" spans="1:23" x14ac:dyDescent="0.35">
      <c r="A161" s="2">
        <v>6</v>
      </c>
      <c r="B161" s="2" t="s">
        <v>18</v>
      </c>
      <c r="C161" s="2" t="s">
        <v>17</v>
      </c>
      <c r="D161" s="2" t="s">
        <v>5</v>
      </c>
      <c r="E161" s="2">
        <f>H150+100</f>
        <v>1830</v>
      </c>
      <c r="F161" s="2">
        <v>100</v>
      </c>
      <c r="G161" s="2">
        <v>19</v>
      </c>
      <c r="H161" s="2">
        <v>4</v>
      </c>
      <c r="I161" s="2">
        <f t="shared" si="12"/>
        <v>0.49115638476246321</v>
      </c>
      <c r="J161" s="2"/>
      <c r="K161" s="2"/>
      <c r="L161" s="2"/>
      <c r="M161" s="2"/>
      <c r="N161" s="2"/>
      <c r="O161" s="2"/>
      <c r="P161" s="2"/>
      <c r="Q161" s="6"/>
      <c r="R161" s="6"/>
      <c r="S161" s="6"/>
      <c r="T161" s="6"/>
      <c r="U161" s="6"/>
      <c r="V161" s="6"/>
      <c r="W161" s="6"/>
    </row>
    <row r="162" spans="1:23" x14ac:dyDescent="0.35">
      <c r="A162" s="2">
        <v>6</v>
      </c>
      <c r="B162" s="2" t="s">
        <v>18</v>
      </c>
      <c r="C162" s="2" t="s">
        <v>17</v>
      </c>
      <c r="D162" s="2" t="s">
        <v>30</v>
      </c>
      <c r="E162" s="2">
        <f>J150+40</f>
        <v>1040</v>
      </c>
      <c r="F162" s="2">
        <v>100</v>
      </c>
      <c r="G162" s="2">
        <v>19</v>
      </c>
      <c r="H162" s="2">
        <v>8</v>
      </c>
      <c r="I162" s="2">
        <f t="shared" si="12"/>
        <v>0.55825425153329145</v>
      </c>
      <c r="J162" s="2"/>
      <c r="K162" s="2"/>
      <c r="L162" s="2"/>
      <c r="M162" s="2"/>
      <c r="N162" s="2"/>
      <c r="O162" s="2"/>
      <c r="P162" s="2"/>
      <c r="Q162" s="6"/>
      <c r="R162" s="6"/>
      <c r="S162" s="6"/>
      <c r="T162" s="6"/>
      <c r="U162" s="6"/>
      <c r="V162" s="6"/>
      <c r="W162" s="6"/>
    </row>
    <row r="163" spans="1:23" x14ac:dyDescent="0.35">
      <c r="A163" s="2">
        <v>6</v>
      </c>
      <c r="B163" s="2" t="s">
        <v>18</v>
      </c>
      <c r="C163" s="2" t="s">
        <v>17</v>
      </c>
      <c r="D163" s="2" t="s">
        <v>22</v>
      </c>
      <c r="E163" s="2">
        <f>I150</f>
        <v>590</v>
      </c>
      <c r="F163" s="2">
        <v>100</v>
      </c>
      <c r="G163" s="2">
        <v>19</v>
      </c>
      <c r="H163" s="2">
        <v>4</v>
      </c>
      <c r="I163" s="2">
        <f t="shared" si="12"/>
        <v>0.15835096557915485</v>
      </c>
      <c r="J163" s="2"/>
      <c r="K163" s="2"/>
      <c r="L163" s="2"/>
      <c r="M163" s="2"/>
      <c r="N163" s="2"/>
      <c r="O163" s="2"/>
      <c r="P163" s="2"/>
      <c r="Q163" s="6"/>
      <c r="R163" s="6"/>
      <c r="S163" s="6"/>
      <c r="T163" s="6"/>
      <c r="U163" s="6"/>
      <c r="V163" s="6"/>
      <c r="W163" s="6"/>
    </row>
    <row r="164" spans="1:23" x14ac:dyDescent="0.35">
      <c r="A164" s="2">
        <v>4</v>
      </c>
      <c r="B164" s="2" t="s">
        <v>18</v>
      </c>
      <c r="C164" s="2" t="s">
        <v>17</v>
      </c>
      <c r="D164" s="2" t="s">
        <v>23</v>
      </c>
      <c r="E164" s="2">
        <f>J150+40</f>
        <v>1040</v>
      </c>
      <c r="F164" s="2">
        <v>100</v>
      </c>
      <c r="G164" s="2">
        <v>19</v>
      </c>
      <c r="H164" s="2">
        <v>4</v>
      </c>
      <c r="I164" s="2">
        <f t="shared" si="12"/>
        <v>0.27912712576664572</v>
      </c>
      <c r="J164" s="2"/>
      <c r="K164" s="2"/>
      <c r="L164" s="2"/>
      <c r="M164" s="2"/>
      <c r="N164" s="2"/>
      <c r="O164" s="2"/>
      <c r="P164" s="2"/>
      <c r="Q164" s="6"/>
      <c r="R164" s="6"/>
      <c r="S164" s="6"/>
      <c r="T164" s="6"/>
      <c r="U164" s="6"/>
      <c r="V164" s="6"/>
      <c r="W164" s="6"/>
    </row>
    <row r="165" spans="1:23" x14ac:dyDescent="0.35">
      <c r="A165" s="2">
        <v>6</v>
      </c>
      <c r="B165" s="2" t="s">
        <v>18</v>
      </c>
      <c r="C165" s="2" t="s">
        <v>17</v>
      </c>
      <c r="D165" s="2" t="s">
        <v>22</v>
      </c>
      <c r="E165" s="2">
        <v>100</v>
      </c>
      <c r="F165" s="2">
        <v>100</v>
      </c>
      <c r="G165" s="2">
        <v>90</v>
      </c>
      <c r="H165" s="2">
        <f>L150</f>
        <v>12</v>
      </c>
      <c r="I165" s="2">
        <f t="shared" si="12"/>
        <v>0.38139840059207675</v>
      </c>
      <c r="J165" s="2"/>
      <c r="K165" s="2"/>
      <c r="L165" s="2"/>
      <c r="M165" s="2"/>
      <c r="N165" s="2"/>
      <c r="O165" s="2"/>
      <c r="P165" s="2"/>
      <c r="Q165" s="6"/>
      <c r="R165" s="6"/>
      <c r="S165" s="6"/>
      <c r="T165" s="6"/>
      <c r="U165" s="6"/>
      <c r="V165" s="6"/>
      <c r="W165" s="6"/>
    </row>
    <row r="166" spans="1:23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6"/>
      <c r="R166" s="6"/>
      <c r="S166" s="6"/>
      <c r="T166" s="6"/>
      <c r="U166" s="6"/>
      <c r="V166" s="6"/>
      <c r="W166" s="6"/>
    </row>
    <row r="167" spans="1:23" ht="15.5" x14ac:dyDescent="0.35">
      <c r="A167" s="3"/>
      <c r="B167" s="3"/>
      <c r="C167" s="3"/>
      <c r="D167" s="3"/>
      <c r="E167" s="3"/>
      <c r="F167" s="3"/>
      <c r="G167" s="3"/>
      <c r="H167" s="3"/>
      <c r="I167" s="4">
        <f>SUM(I155:I166)</f>
        <v>3.1444885542147865</v>
      </c>
      <c r="J167" s="4">
        <f>SUM(J152:J166)</f>
        <v>80.576480597405634</v>
      </c>
      <c r="K167" s="4">
        <f>I167+K152</f>
        <v>3.4589374096362651</v>
      </c>
      <c r="L167" s="4">
        <f>J167+L152</f>
        <v>88.634128657146192</v>
      </c>
      <c r="M167" s="4">
        <f>L167*M152</f>
        <v>3368.0968889715555</v>
      </c>
      <c r="N167" s="4">
        <f>K167*N152</f>
        <v>3199.5171039135453</v>
      </c>
      <c r="O167" s="4">
        <f>L167*O152</f>
        <v>886.34128657146198</v>
      </c>
      <c r="P167" s="4">
        <f>K167*P152</f>
        <v>691.787481927253</v>
      </c>
      <c r="Q167" s="4">
        <f>K167*Q152</f>
        <v>103.76812228908796</v>
      </c>
      <c r="R167" s="4">
        <f>K167*R152</f>
        <v>69.178748192725294</v>
      </c>
      <c r="S167" s="4">
        <f>K167*S152</f>
        <v>34.589374096362647</v>
      </c>
      <c r="T167" s="4">
        <f>K167*T152</f>
        <v>34.589374096362647</v>
      </c>
      <c r="U167" s="4">
        <f>SUM(M167:T167)</f>
        <v>8387.8683800583531</v>
      </c>
      <c r="V167" s="4">
        <f>U167*V152</f>
        <v>1677.5736760116706</v>
      </c>
      <c r="W167" s="5">
        <f>U167+V167</f>
        <v>10065.442056070024</v>
      </c>
    </row>
    <row r="175" spans="1:23" ht="21" x14ac:dyDescent="0.5">
      <c r="H175" s="16">
        <f>H176/G176</f>
        <v>75.59055118110237</v>
      </c>
      <c r="I175" s="16">
        <f>I176/G176</f>
        <v>23.228346456692915</v>
      </c>
      <c r="J175" s="16">
        <f>J176/G176</f>
        <v>39.370078740157481</v>
      </c>
      <c r="K175" s="12" t="s">
        <v>37</v>
      </c>
      <c r="L175" s="11"/>
      <c r="M175" s="11"/>
      <c r="N175" s="11"/>
      <c r="O175" s="11"/>
    </row>
    <row r="176" spans="1:23" ht="18.5" x14ac:dyDescent="0.45">
      <c r="A176" s="1">
        <v>5</v>
      </c>
      <c r="B176" s="1"/>
      <c r="C176" s="1"/>
      <c r="D176" s="1"/>
      <c r="E176" s="1"/>
      <c r="F176" s="1"/>
      <c r="G176" s="1">
        <v>25.4</v>
      </c>
      <c r="H176" s="10">
        <v>1920</v>
      </c>
      <c r="I176" s="10">
        <v>590</v>
      </c>
      <c r="J176" s="10">
        <v>1000</v>
      </c>
      <c r="K176" s="10" t="s">
        <v>24</v>
      </c>
      <c r="L176" s="10">
        <v>9</v>
      </c>
      <c r="M176" s="10" t="s">
        <v>38</v>
      </c>
      <c r="N176" s="10" t="s">
        <v>24</v>
      </c>
      <c r="O176" s="13"/>
      <c r="P176" s="8"/>
      <c r="Q176" s="9"/>
      <c r="R176" s="1"/>
      <c r="S176" s="1"/>
      <c r="T176" s="1"/>
      <c r="U176" s="1"/>
      <c r="V176" s="1"/>
      <c r="W176" s="1"/>
    </row>
    <row r="177" spans="1:23" ht="15.5" x14ac:dyDescent="0.35">
      <c r="A177" s="4" t="s">
        <v>6</v>
      </c>
      <c r="B177" s="4" t="s">
        <v>7</v>
      </c>
      <c r="C177" s="4" t="s">
        <v>8</v>
      </c>
      <c r="D177" s="4" t="s">
        <v>19</v>
      </c>
      <c r="E177" s="4" t="s">
        <v>9</v>
      </c>
      <c r="F177" s="4" t="s">
        <v>20</v>
      </c>
      <c r="G177" s="4" t="s">
        <v>21</v>
      </c>
      <c r="H177" s="4" t="s">
        <v>1</v>
      </c>
      <c r="I177" s="4" t="s">
        <v>10</v>
      </c>
      <c r="J177" s="4" t="s">
        <v>25</v>
      </c>
      <c r="K177" s="4" t="s">
        <v>32</v>
      </c>
      <c r="L177" s="4" t="s">
        <v>32</v>
      </c>
      <c r="M177" s="4" t="s">
        <v>31</v>
      </c>
      <c r="N177" s="4" t="s">
        <v>11</v>
      </c>
      <c r="O177" s="4" t="s">
        <v>33</v>
      </c>
      <c r="P177" s="4" t="s">
        <v>12</v>
      </c>
      <c r="Q177" s="4" t="s">
        <v>13</v>
      </c>
      <c r="R177" s="4" t="s">
        <v>34</v>
      </c>
      <c r="S177" s="4" t="s">
        <v>35</v>
      </c>
      <c r="T177" s="4" t="s">
        <v>36</v>
      </c>
      <c r="U177" s="4" t="s">
        <v>0</v>
      </c>
      <c r="V177" s="4" t="s">
        <v>14</v>
      </c>
      <c r="W177" s="4" t="s">
        <v>15</v>
      </c>
    </row>
    <row r="178" spans="1:23" ht="15.5" x14ac:dyDescent="0.35">
      <c r="A178" s="2">
        <v>1</v>
      </c>
      <c r="B178" s="2" t="s">
        <v>18</v>
      </c>
      <c r="C178" s="2" t="s">
        <v>26</v>
      </c>
      <c r="D178" s="2" t="s">
        <v>2</v>
      </c>
      <c r="E178" s="2">
        <f>H176+100</f>
        <v>2020</v>
      </c>
      <c r="F178" s="2">
        <f>I176+80</f>
        <v>670</v>
      </c>
      <c r="G178" s="2"/>
      <c r="H178" s="2">
        <v>2</v>
      </c>
      <c r="I178" s="2"/>
      <c r="J178" s="15">
        <f>E178*F178*H178/304.8/304.8</f>
        <v>29.13575271594987</v>
      </c>
      <c r="K178" s="4">
        <f>I193*10%</f>
        <v>0.32719745010793605</v>
      </c>
      <c r="L178" s="4">
        <f>J193*10%</f>
        <v>8.7570869586183626</v>
      </c>
      <c r="M178" s="4">
        <v>38</v>
      </c>
      <c r="N178" s="4">
        <v>925</v>
      </c>
      <c r="O178" s="4">
        <v>10</v>
      </c>
      <c r="P178" s="4">
        <v>190</v>
      </c>
      <c r="Q178" s="4">
        <v>30</v>
      </c>
      <c r="R178" s="4">
        <v>20</v>
      </c>
      <c r="S178" s="4">
        <v>10</v>
      </c>
      <c r="T178" s="4">
        <v>10</v>
      </c>
      <c r="U178" s="4"/>
      <c r="V178" s="14">
        <v>0.2</v>
      </c>
      <c r="W178" s="4"/>
    </row>
    <row r="179" spans="1:23" ht="15.5" x14ac:dyDescent="0.35">
      <c r="A179" s="2">
        <v>2</v>
      </c>
      <c r="B179" s="2" t="s">
        <v>18</v>
      </c>
      <c r="C179" s="2" t="s">
        <v>26</v>
      </c>
      <c r="D179" s="2" t="s">
        <v>3</v>
      </c>
      <c r="E179" s="2">
        <f>H176+100</f>
        <v>2020</v>
      </c>
      <c r="F179" s="2">
        <f>J176+40</f>
        <v>1040</v>
      </c>
      <c r="G179" s="2"/>
      <c r="H179" s="2">
        <v>2</v>
      </c>
      <c r="I179" s="2"/>
      <c r="J179" s="15">
        <f>E179*F179*H179/304.8/304.8</f>
        <v>45.225646006847569</v>
      </c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 spans="1:23" ht="15.5" x14ac:dyDescent="0.35">
      <c r="A180" s="2">
        <v>3</v>
      </c>
      <c r="B180" s="2" t="s">
        <v>18</v>
      </c>
      <c r="C180" s="2" t="s">
        <v>26</v>
      </c>
      <c r="D180" s="2" t="s">
        <v>4</v>
      </c>
      <c r="E180" s="2">
        <f>I176</f>
        <v>590</v>
      </c>
      <c r="F180" s="2">
        <f>J176+40</f>
        <v>1040</v>
      </c>
      <c r="G180" s="2"/>
      <c r="H180" s="2">
        <v>2</v>
      </c>
      <c r="I180" s="2"/>
      <c r="J180" s="15">
        <f>E180*F180*H180/304.8/304.8</f>
        <v>13.209470863386171</v>
      </c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 spans="1:23" ht="15.5" x14ac:dyDescent="0.35">
      <c r="A181" s="2">
        <v>5</v>
      </c>
      <c r="B181" s="2" t="s">
        <v>18</v>
      </c>
      <c r="C181" s="2" t="s">
        <v>17</v>
      </c>
      <c r="D181" s="2" t="s">
        <v>16</v>
      </c>
      <c r="E181" s="2">
        <f>H176+100</f>
        <v>2020</v>
      </c>
      <c r="F181" s="2">
        <v>100</v>
      </c>
      <c r="G181" s="2">
        <v>19</v>
      </c>
      <c r="H181" s="2">
        <v>2</v>
      </c>
      <c r="I181" s="2">
        <f t="shared" ref="I181:I191" si="14">E181*F181*G181*H181/304.8/304.8/304.8</f>
        <v>0.27107538175414636</v>
      </c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 spans="1:23" ht="15.5" x14ac:dyDescent="0.35">
      <c r="A182" s="2">
        <v>6</v>
      </c>
      <c r="B182" s="2" t="s">
        <v>18</v>
      </c>
      <c r="C182" s="2" t="s">
        <v>17</v>
      </c>
      <c r="D182" s="2" t="s">
        <v>27</v>
      </c>
      <c r="E182" s="2">
        <f>I176+80</f>
        <v>670</v>
      </c>
      <c r="F182" s="2">
        <v>100</v>
      </c>
      <c r="G182" s="2">
        <v>19</v>
      </c>
      <c r="H182" s="2">
        <v>4</v>
      </c>
      <c r="I182" s="2">
        <f t="shared" si="14"/>
        <v>0.17982228294581987</v>
      </c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 spans="1:23" x14ac:dyDescent="0.35">
      <c r="A183" s="2">
        <v>6</v>
      </c>
      <c r="B183" s="2" t="s">
        <v>18</v>
      </c>
      <c r="C183" s="2" t="s">
        <v>17</v>
      </c>
      <c r="D183" s="2" t="s">
        <v>28</v>
      </c>
      <c r="E183" s="2">
        <f>H176+100</f>
        <v>2020</v>
      </c>
      <c r="F183" s="2">
        <v>100</v>
      </c>
      <c r="G183" s="2">
        <v>19</v>
      </c>
      <c r="H183" s="2">
        <v>4</v>
      </c>
      <c r="I183" s="2">
        <f t="shared" si="14"/>
        <v>0.54215076350829272</v>
      </c>
      <c r="J183" s="2"/>
      <c r="K183" s="2"/>
      <c r="L183" s="2"/>
      <c r="M183" s="2"/>
      <c r="N183" s="2"/>
      <c r="O183" s="2"/>
      <c r="P183" s="2"/>
      <c r="Q183" s="6"/>
      <c r="R183" s="6"/>
      <c r="S183" s="6"/>
      <c r="T183" s="6"/>
      <c r="U183" s="6"/>
      <c r="V183" s="7"/>
      <c r="W183" s="6"/>
    </row>
    <row r="184" spans="1:23" x14ac:dyDescent="0.35">
      <c r="A184" s="2">
        <v>6</v>
      </c>
      <c r="B184" s="2" t="s">
        <v>18</v>
      </c>
      <c r="C184" s="2" t="s">
        <v>17</v>
      </c>
      <c r="D184" s="2" t="s">
        <v>28</v>
      </c>
      <c r="E184" s="2">
        <f>I176+80</f>
        <v>670</v>
      </c>
      <c r="F184" s="2">
        <v>100</v>
      </c>
      <c r="G184" s="2">
        <v>19</v>
      </c>
      <c r="H184" s="2">
        <v>4</v>
      </c>
      <c r="I184" s="2">
        <f t="shared" si="14"/>
        <v>0.17982228294581987</v>
      </c>
      <c r="J184" s="2"/>
      <c r="K184" s="2"/>
      <c r="L184" s="2"/>
      <c r="M184" s="2"/>
      <c r="N184" s="2"/>
      <c r="O184" s="2"/>
      <c r="P184" s="2"/>
      <c r="Q184" s="6"/>
      <c r="R184" s="6"/>
      <c r="S184" s="6"/>
      <c r="T184" s="6"/>
      <c r="U184" s="6"/>
      <c r="V184" s="6"/>
      <c r="W184" s="6"/>
    </row>
    <row r="185" spans="1:23" x14ac:dyDescent="0.35">
      <c r="A185" s="2">
        <v>3</v>
      </c>
      <c r="B185" s="2" t="s">
        <v>18</v>
      </c>
      <c r="C185" s="2" t="s">
        <v>17</v>
      </c>
      <c r="D185" s="2" t="s">
        <v>29</v>
      </c>
      <c r="E185" s="2">
        <f>I176+80</f>
        <v>670</v>
      </c>
      <c r="F185" s="2">
        <v>100</v>
      </c>
      <c r="G185" s="2">
        <v>19</v>
      </c>
      <c r="H185" s="2">
        <v>4</v>
      </c>
      <c r="I185" s="2">
        <f t="shared" ref="I185" si="15">E185*F185*G185*H185/304.8/304.8/304.8</f>
        <v>0.17982228294581987</v>
      </c>
      <c r="J185" s="2"/>
      <c r="K185" s="2"/>
      <c r="L185" s="2"/>
      <c r="M185" s="2"/>
      <c r="N185" s="2"/>
      <c r="O185" s="2"/>
      <c r="P185" s="2"/>
      <c r="Q185" s="6"/>
      <c r="R185" s="6"/>
      <c r="S185" s="6"/>
      <c r="T185" s="6"/>
      <c r="U185" s="6"/>
      <c r="V185" s="6"/>
      <c r="W185" s="6"/>
    </row>
    <row r="186" spans="1:23" x14ac:dyDescent="0.35">
      <c r="A186" s="2">
        <v>3</v>
      </c>
      <c r="B186" s="2" t="s">
        <v>18</v>
      </c>
      <c r="C186" s="2" t="s">
        <v>17</v>
      </c>
      <c r="D186" s="2" t="s">
        <v>29</v>
      </c>
      <c r="E186" s="2">
        <f>I176+80</f>
        <v>670</v>
      </c>
      <c r="F186" s="2">
        <v>100</v>
      </c>
      <c r="G186" s="2">
        <v>19</v>
      </c>
      <c r="H186" s="2">
        <v>0</v>
      </c>
      <c r="I186" s="2">
        <f t="shared" si="14"/>
        <v>0</v>
      </c>
      <c r="J186" s="2"/>
      <c r="K186" s="2"/>
      <c r="L186" s="2"/>
      <c r="M186" s="2"/>
      <c r="N186" s="2"/>
      <c r="O186" s="2"/>
      <c r="P186" s="2"/>
      <c r="Q186" s="6"/>
      <c r="R186" s="6"/>
      <c r="S186" s="6"/>
      <c r="T186" s="6"/>
      <c r="U186" s="6"/>
      <c r="V186" s="6"/>
      <c r="W186" s="6"/>
    </row>
    <row r="187" spans="1:23" x14ac:dyDescent="0.35">
      <c r="A187" s="2">
        <v>6</v>
      </c>
      <c r="B187" s="2" t="s">
        <v>18</v>
      </c>
      <c r="C187" s="2" t="s">
        <v>17</v>
      </c>
      <c r="D187" s="2" t="s">
        <v>5</v>
      </c>
      <c r="E187" s="2">
        <f>H176+100</f>
        <v>2020</v>
      </c>
      <c r="F187" s="2">
        <v>100</v>
      </c>
      <c r="G187" s="2">
        <v>19</v>
      </c>
      <c r="H187" s="2">
        <v>4</v>
      </c>
      <c r="I187" s="2">
        <f t="shared" si="14"/>
        <v>0.54215076350829272</v>
      </c>
      <c r="J187" s="2"/>
      <c r="K187" s="2"/>
      <c r="L187" s="2"/>
      <c r="M187" s="2"/>
      <c r="N187" s="2"/>
      <c r="O187" s="2"/>
      <c r="P187" s="2"/>
      <c r="Q187" s="6"/>
      <c r="R187" s="6"/>
      <c r="S187" s="6"/>
      <c r="T187" s="6"/>
      <c r="U187" s="6"/>
      <c r="V187" s="6"/>
      <c r="W187" s="6"/>
    </row>
    <row r="188" spans="1:23" x14ac:dyDescent="0.35">
      <c r="A188" s="2">
        <v>6</v>
      </c>
      <c r="B188" s="2" t="s">
        <v>18</v>
      </c>
      <c r="C188" s="2" t="s">
        <v>17</v>
      </c>
      <c r="D188" s="2" t="s">
        <v>30</v>
      </c>
      <c r="E188" s="2">
        <f>J176+40</f>
        <v>1040</v>
      </c>
      <c r="F188" s="2">
        <v>100</v>
      </c>
      <c r="G188" s="2">
        <v>19</v>
      </c>
      <c r="H188" s="2">
        <v>8</v>
      </c>
      <c r="I188" s="2">
        <f t="shared" si="14"/>
        <v>0.55825425153329145</v>
      </c>
      <c r="J188" s="2"/>
      <c r="K188" s="2"/>
      <c r="L188" s="2"/>
      <c r="M188" s="2"/>
      <c r="N188" s="2"/>
      <c r="O188" s="2"/>
      <c r="P188" s="2"/>
      <c r="Q188" s="6"/>
      <c r="R188" s="6"/>
      <c r="S188" s="6"/>
      <c r="T188" s="6"/>
      <c r="U188" s="6"/>
      <c r="V188" s="6"/>
      <c r="W188" s="6"/>
    </row>
    <row r="189" spans="1:23" x14ac:dyDescent="0.35">
      <c r="A189" s="2">
        <v>6</v>
      </c>
      <c r="B189" s="2" t="s">
        <v>18</v>
      </c>
      <c r="C189" s="2" t="s">
        <v>17</v>
      </c>
      <c r="D189" s="2" t="s">
        <v>22</v>
      </c>
      <c r="E189" s="2">
        <f>I176</f>
        <v>590</v>
      </c>
      <c r="F189" s="2">
        <v>100</v>
      </c>
      <c r="G189" s="2">
        <v>19</v>
      </c>
      <c r="H189" s="2">
        <v>4</v>
      </c>
      <c r="I189" s="2">
        <f t="shared" si="14"/>
        <v>0.15835096557915485</v>
      </c>
      <c r="J189" s="2"/>
      <c r="K189" s="2"/>
      <c r="L189" s="2"/>
      <c r="M189" s="2"/>
      <c r="N189" s="2"/>
      <c r="O189" s="2"/>
      <c r="P189" s="2"/>
      <c r="Q189" s="6"/>
      <c r="R189" s="6"/>
      <c r="S189" s="6"/>
      <c r="T189" s="6"/>
      <c r="U189" s="6"/>
      <c r="V189" s="6"/>
      <c r="W189" s="6"/>
    </row>
    <row r="190" spans="1:23" x14ac:dyDescent="0.35">
      <c r="A190" s="2">
        <v>4</v>
      </c>
      <c r="B190" s="2" t="s">
        <v>18</v>
      </c>
      <c r="C190" s="2" t="s">
        <v>17</v>
      </c>
      <c r="D190" s="2" t="s">
        <v>23</v>
      </c>
      <c r="E190" s="2">
        <f>J176+40</f>
        <v>1040</v>
      </c>
      <c r="F190" s="2">
        <v>100</v>
      </c>
      <c r="G190" s="2">
        <v>19</v>
      </c>
      <c r="H190" s="2">
        <v>4</v>
      </c>
      <c r="I190" s="2">
        <f t="shared" si="14"/>
        <v>0.27912712576664572</v>
      </c>
      <c r="J190" s="2"/>
      <c r="K190" s="2"/>
      <c r="L190" s="2"/>
      <c r="M190" s="2"/>
      <c r="N190" s="2"/>
      <c r="O190" s="2"/>
      <c r="P190" s="2"/>
      <c r="Q190" s="6"/>
      <c r="R190" s="6"/>
      <c r="S190" s="6"/>
      <c r="T190" s="6"/>
      <c r="U190" s="6"/>
      <c r="V190" s="6"/>
      <c r="W190" s="6"/>
    </row>
    <row r="191" spans="1:23" x14ac:dyDescent="0.35">
      <c r="A191" s="2">
        <v>6</v>
      </c>
      <c r="B191" s="2" t="s">
        <v>18</v>
      </c>
      <c r="C191" s="2" t="s">
        <v>17</v>
      </c>
      <c r="D191" s="2" t="s">
        <v>22</v>
      </c>
      <c r="E191" s="2">
        <v>100</v>
      </c>
      <c r="F191" s="2">
        <v>100</v>
      </c>
      <c r="G191" s="2">
        <v>90</v>
      </c>
      <c r="H191" s="2">
        <v>12</v>
      </c>
      <c r="I191" s="2">
        <f t="shared" si="14"/>
        <v>0.38139840059207675</v>
      </c>
      <c r="J191" s="2"/>
      <c r="K191" s="2"/>
      <c r="L191" s="2"/>
      <c r="M191" s="2"/>
      <c r="N191" s="2"/>
      <c r="O191" s="2"/>
      <c r="P191" s="2"/>
      <c r="Q191" s="6"/>
      <c r="R191" s="6"/>
      <c r="S191" s="6"/>
      <c r="T191" s="6"/>
      <c r="U191" s="6"/>
      <c r="V191" s="6"/>
      <c r="W191" s="6"/>
    </row>
    <row r="192" spans="1:23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6"/>
      <c r="R192" s="6"/>
      <c r="S192" s="6"/>
      <c r="T192" s="6"/>
      <c r="U192" s="6"/>
      <c r="V192" s="6"/>
      <c r="W192" s="6"/>
    </row>
    <row r="193" spans="1:23" ht="15.5" x14ac:dyDescent="0.35">
      <c r="A193" s="3"/>
      <c r="B193" s="3"/>
      <c r="C193" s="3"/>
      <c r="D193" s="3"/>
      <c r="E193" s="3"/>
      <c r="F193" s="3"/>
      <c r="G193" s="3"/>
      <c r="H193" s="3"/>
      <c r="I193" s="4">
        <f>SUM(I181:I192)</f>
        <v>3.2719745010793604</v>
      </c>
      <c r="J193" s="4">
        <f>SUM(J178:J192)</f>
        <v>87.570869586183619</v>
      </c>
      <c r="K193" s="4">
        <f>I193+K178</f>
        <v>3.5991719511872966</v>
      </c>
      <c r="L193" s="4">
        <f>J193+L178</f>
        <v>96.327956544801978</v>
      </c>
      <c r="M193" s="4">
        <f>L193*M178</f>
        <v>3660.4623487024751</v>
      </c>
      <c r="N193" s="4">
        <f>K193*N178</f>
        <v>3329.2340548482493</v>
      </c>
      <c r="O193" s="4">
        <f>L193*O178</f>
        <v>963.27956544801975</v>
      </c>
      <c r="P193" s="4">
        <f>K193*P178</f>
        <v>683.84267072558634</v>
      </c>
      <c r="Q193" s="4">
        <f>K193*Q178</f>
        <v>107.9751585356189</v>
      </c>
      <c r="R193" s="4">
        <f>K193*R178</f>
        <v>71.98343902374593</v>
      </c>
      <c r="S193" s="4">
        <f>K193*S178</f>
        <v>35.991719511872965</v>
      </c>
      <c r="T193" s="4">
        <f>K193*T178</f>
        <v>35.991719511872965</v>
      </c>
      <c r="U193" s="4">
        <f>SUM(M193:T193)</f>
        <v>8888.76067630744</v>
      </c>
      <c r="V193" s="4">
        <f>U193*V178</f>
        <v>1777.7521352614881</v>
      </c>
      <c r="W193" s="5">
        <f>U193+V193</f>
        <v>10666.512811568928</v>
      </c>
    </row>
    <row r="200" spans="1:23" ht="21" x14ac:dyDescent="0.5">
      <c r="H200" s="16">
        <f>H201/G201</f>
        <v>60.629921259842526</v>
      </c>
      <c r="I200" s="16">
        <f>I201/G201</f>
        <v>30.905511811023622</v>
      </c>
      <c r="J200" s="16">
        <f>J201/G201</f>
        <v>39.370078740157481</v>
      </c>
      <c r="K200" s="12" t="s">
        <v>37</v>
      </c>
      <c r="L200" s="11"/>
      <c r="M200" s="11"/>
      <c r="N200" s="11"/>
      <c r="O200" s="11"/>
    </row>
    <row r="201" spans="1:23" ht="18.5" x14ac:dyDescent="0.45">
      <c r="A201" s="1">
        <v>6</v>
      </c>
      <c r="B201" s="1"/>
      <c r="C201" s="1"/>
      <c r="D201" s="1"/>
      <c r="E201" s="1"/>
      <c r="F201" s="1"/>
      <c r="G201" s="1">
        <v>25.4</v>
      </c>
      <c r="H201" s="10">
        <v>1540</v>
      </c>
      <c r="I201" s="10">
        <v>785</v>
      </c>
      <c r="J201" s="10">
        <v>1000</v>
      </c>
      <c r="K201" s="10" t="s">
        <v>24</v>
      </c>
      <c r="L201" s="10">
        <v>9</v>
      </c>
      <c r="M201" s="10" t="s">
        <v>38</v>
      </c>
      <c r="N201" s="10" t="s">
        <v>24</v>
      </c>
      <c r="O201" s="13"/>
      <c r="P201" s="8"/>
      <c r="Q201" s="9"/>
      <c r="R201" s="1"/>
      <c r="S201" s="1"/>
      <c r="T201" s="1"/>
      <c r="U201" s="1"/>
      <c r="V201" s="1"/>
      <c r="W201" s="1"/>
    </row>
    <row r="202" spans="1:23" ht="15.5" x14ac:dyDescent="0.35">
      <c r="A202" s="4" t="s">
        <v>6</v>
      </c>
      <c r="B202" s="4" t="s">
        <v>7</v>
      </c>
      <c r="C202" s="4" t="s">
        <v>8</v>
      </c>
      <c r="D202" s="4" t="s">
        <v>19</v>
      </c>
      <c r="E202" s="4" t="s">
        <v>9</v>
      </c>
      <c r="F202" s="4" t="s">
        <v>20</v>
      </c>
      <c r="G202" s="4" t="s">
        <v>21</v>
      </c>
      <c r="H202" s="4" t="s">
        <v>1</v>
      </c>
      <c r="I202" s="4" t="s">
        <v>10</v>
      </c>
      <c r="J202" s="4" t="s">
        <v>25</v>
      </c>
      <c r="K202" s="4" t="s">
        <v>32</v>
      </c>
      <c r="L202" s="4" t="s">
        <v>32</v>
      </c>
      <c r="M202" s="4" t="s">
        <v>31</v>
      </c>
      <c r="N202" s="4" t="s">
        <v>11</v>
      </c>
      <c r="O202" s="4" t="s">
        <v>33</v>
      </c>
      <c r="P202" s="4" t="s">
        <v>12</v>
      </c>
      <c r="Q202" s="4" t="s">
        <v>13</v>
      </c>
      <c r="R202" s="4" t="s">
        <v>34</v>
      </c>
      <c r="S202" s="4" t="s">
        <v>35</v>
      </c>
      <c r="T202" s="4" t="s">
        <v>36</v>
      </c>
      <c r="U202" s="4" t="s">
        <v>0</v>
      </c>
      <c r="V202" s="4" t="s">
        <v>14</v>
      </c>
      <c r="W202" s="4" t="s">
        <v>15</v>
      </c>
    </row>
    <row r="203" spans="1:23" ht="15.5" x14ac:dyDescent="0.35">
      <c r="A203" s="2">
        <v>1</v>
      </c>
      <c r="B203" s="2" t="s">
        <v>18</v>
      </c>
      <c r="C203" s="2" t="s">
        <v>26</v>
      </c>
      <c r="D203" s="2" t="s">
        <v>2</v>
      </c>
      <c r="E203" s="2">
        <f>H201+100</f>
        <v>1640</v>
      </c>
      <c r="F203" s="2">
        <f>I201+80</f>
        <v>865</v>
      </c>
      <c r="G203" s="2"/>
      <c r="H203" s="2">
        <v>2</v>
      </c>
      <c r="I203" s="2"/>
      <c r="J203" s="15">
        <f>E203*F203*H203/304.8/304.8</f>
        <v>30.539366634288822</v>
      </c>
      <c r="K203" s="4">
        <f>I218*10%</f>
        <v>0.34759520160626783</v>
      </c>
      <c r="L203" s="4">
        <f>J218*10%</f>
        <v>8.4832530776172668</v>
      </c>
      <c r="M203" s="4">
        <v>38</v>
      </c>
      <c r="N203" s="4">
        <v>925</v>
      </c>
      <c r="O203" s="4">
        <v>10</v>
      </c>
      <c r="P203" s="4">
        <v>190</v>
      </c>
      <c r="Q203" s="4">
        <v>30</v>
      </c>
      <c r="R203" s="4">
        <v>20</v>
      </c>
      <c r="S203" s="4">
        <v>10</v>
      </c>
      <c r="T203" s="4">
        <v>10</v>
      </c>
      <c r="U203" s="4"/>
      <c r="V203" s="14">
        <v>0.2</v>
      </c>
      <c r="W203" s="4"/>
    </row>
    <row r="204" spans="1:23" ht="15.5" x14ac:dyDescent="0.35">
      <c r="A204" s="2">
        <v>2</v>
      </c>
      <c r="B204" s="2" t="s">
        <v>18</v>
      </c>
      <c r="C204" s="2" t="s">
        <v>26</v>
      </c>
      <c r="D204" s="2" t="s">
        <v>3</v>
      </c>
      <c r="E204" s="2">
        <f>H201+100</f>
        <v>1640</v>
      </c>
      <c r="F204" s="2">
        <f>J201+40</f>
        <v>1040</v>
      </c>
      <c r="G204" s="2"/>
      <c r="H204" s="2">
        <v>2</v>
      </c>
      <c r="I204" s="2"/>
      <c r="J204" s="15">
        <f>E204*F204*H204/304.8/304.8</f>
        <v>36.717851213480202</v>
      </c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</row>
    <row r="205" spans="1:23" ht="15.5" x14ac:dyDescent="0.35">
      <c r="A205" s="2">
        <v>3</v>
      </c>
      <c r="B205" s="2" t="s">
        <v>18</v>
      </c>
      <c r="C205" s="2" t="s">
        <v>26</v>
      </c>
      <c r="D205" s="2" t="s">
        <v>4</v>
      </c>
      <c r="E205" s="2">
        <f>I201</f>
        <v>785</v>
      </c>
      <c r="F205" s="2">
        <f>J201+40</f>
        <v>1040</v>
      </c>
      <c r="G205" s="2"/>
      <c r="H205" s="2">
        <v>2</v>
      </c>
      <c r="I205" s="2"/>
      <c r="J205" s="15">
        <f>E205*F205*H205/304.8/304.8</f>
        <v>17.575312928403633</v>
      </c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</row>
    <row r="206" spans="1:23" ht="15.5" x14ac:dyDescent="0.35">
      <c r="A206" s="2">
        <v>5</v>
      </c>
      <c r="B206" s="2" t="s">
        <v>18</v>
      </c>
      <c r="C206" s="2" t="s">
        <v>17</v>
      </c>
      <c r="D206" s="2" t="s">
        <v>16</v>
      </c>
      <c r="E206" s="2">
        <f>H201+100</f>
        <v>1640</v>
      </c>
      <c r="F206" s="2">
        <v>100</v>
      </c>
      <c r="G206" s="2">
        <v>19</v>
      </c>
      <c r="H206" s="2">
        <v>2</v>
      </c>
      <c r="I206" s="2">
        <f t="shared" ref="I206:I216" si="16">E206*F206*G206*H206/304.8/304.8/304.8</f>
        <v>0.22008100300831687</v>
      </c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</row>
    <row r="207" spans="1:23" ht="15.5" x14ac:dyDescent="0.35">
      <c r="A207" s="2">
        <v>6</v>
      </c>
      <c r="B207" s="2" t="s">
        <v>18</v>
      </c>
      <c r="C207" s="2" t="s">
        <v>17</v>
      </c>
      <c r="D207" s="2" t="s">
        <v>27</v>
      </c>
      <c r="E207" s="2">
        <f>I201+80</f>
        <v>865</v>
      </c>
      <c r="F207" s="2">
        <v>100</v>
      </c>
      <c r="G207" s="2">
        <v>19</v>
      </c>
      <c r="H207" s="2">
        <v>4</v>
      </c>
      <c r="I207" s="2">
        <f t="shared" si="16"/>
        <v>0.23215861902706597</v>
      </c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</row>
    <row r="208" spans="1:23" x14ac:dyDescent="0.35">
      <c r="A208" s="2">
        <v>6</v>
      </c>
      <c r="B208" s="2" t="s">
        <v>18</v>
      </c>
      <c r="C208" s="2" t="s">
        <v>17</v>
      </c>
      <c r="D208" s="2" t="s">
        <v>28</v>
      </c>
      <c r="E208" s="2">
        <f>H201+100</f>
        <v>1640</v>
      </c>
      <c r="F208" s="2">
        <v>100</v>
      </c>
      <c r="G208" s="2">
        <v>19</v>
      </c>
      <c r="H208" s="2">
        <v>5</v>
      </c>
      <c r="I208" s="2">
        <f t="shared" si="16"/>
        <v>0.55020250752079214</v>
      </c>
      <c r="J208" s="2"/>
      <c r="K208" s="2"/>
      <c r="L208" s="2"/>
      <c r="M208" s="2"/>
      <c r="N208" s="2"/>
      <c r="O208" s="2"/>
      <c r="P208" s="2"/>
      <c r="Q208" s="6"/>
      <c r="R208" s="6"/>
      <c r="S208" s="6"/>
      <c r="T208" s="6"/>
      <c r="U208" s="6"/>
      <c r="V208" s="7"/>
      <c r="W208" s="6"/>
    </row>
    <row r="209" spans="1:23" x14ac:dyDescent="0.35">
      <c r="A209" s="2">
        <v>6</v>
      </c>
      <c r="B209" s="2" t="s">
        <v>18</v>
      </c>
      <c r="C209" s="2" t="s">
        <v>17</v>
      </c>
      <c r="D209" s="2" t="s">
        <v>28</v>
      </c>
      <c r="E209" s="2">
        <f>I201+80</f>
        <v>865</v>
      </c>
      <c r="F209" s="2">
        <v>100</v>
      </c>
      <c r="G209" s="2">
        <v>19</v>
      </c>
      <c r="H209" s="2">
        <v>4</v>
      </c>
      <c r="I209" s="2">
        <f t="shared" si="16"/>
        <v>0.23215861902706597</v>
      </c>
      <c r="J209" s="2"/>
      <c r="K209" s="2"/>
      <c r="L209" s="2"/>
      <c r="M209" s="2"/>
      <c r="N209" s="2"/>
      <c r="O209" s="2"/>
      <c r="P209" s="2"/>
      <c r="Q209" s="6"/>
      <c r="R209" s="6"/>
      <c r="S209" s="6"/>
      <c r="T209" s="6"/>
      <c r="U209" s="6"/>
      <c r="V209" s="6"/>
      <c r="W209" s="6"/>
    </row>
    <row r="210" spans="1:23" x14ac:dyDescent="0.35">
      <c r="A210" s="2">
        <v>3</v>
      </c>
      <c r="B210" s="2" t="s">
        <v>18</v>
      </c>
      <c r="C210" s="2" t="s">
        <v>17</v>
      </c>
      <c r="D210" s="2" t="s">
        <v>29</v>
      </c>
      <c r="E210" s="2">
        <f>I201+80</f>
        <v>865</v>
      </c>
      <c r="F210" s="2">
        <v>100</v>
      </c>
      <c r="G210" s="2">
        <v>19</v>
      </c>
      <c r="H210" s="2">
        <v>4</v>
      </c>
      <c r="I210" s="2">
        <f t="shared" ref="I210" si="17">E210*F210*G210*H210/304.8/304.8/304.8</f>
        <v>0.23215861902706597</v>
      </c>
      <c r="J210" s="2"/>
      <c r="K210" s="2"/>
      <c r="L210" s="2"/>
      <c r="M210" s="2"/>
      <c r="N210" s="2"/>
      <c r="O210" s="2"/>
      <c r="P210" s="2"/>
      <c r="Q210" s="6"/>
      <c r="R210" s="6"/>
      <c r="S210" s="6"/>
      <c r="T210" s="6"/>
      <c r="U210" s="6"/>
      <c r="V210" s="6"/>
      <c r="W210" s="6"/>
    </row>
    <row r="211" spans="1:23" x14ac:dyDescent="0.35">
      <c r="A211" s="2">
        <v>3</v>
      </c>
      <c r="B211" s="2" t="s">
        <v>18</v>
      </c>
      <c r="C211" s="2" t="s">
        <v>17</v>
      </c>
      <c r="D211" s="2" t="s">
        <v>29</v>
      </c>
      <c r="E211" s="2">
        <f>I201+80</f>
        <v>865</v>
      </c>
      <c r="F211" s="2">
        <v>100</v>
      </c>
      <c r="G211" s="2">
        <v>19</v>
      </c>
      <c r="H211" s="2">
        <v>0</v>
      </c>
      <c r="I211" s="2">
        <f t="shared" si="16"/>
        <v>0</v>
      </c>
      <c r="J211" s="2"/>
      <c r="K211" s="2"/>
      <c r="L211" s="2"/>
      <c r="M211" s="2"/>
      <c r="N211" s="2"/>
      <c r="O211" s="2"/>
      <c r="P211" s="2"/>
      <c r="Q211" s="6"/>
      <c r="R211" s="6"/>
      <c r="S211" s="6"/>
      <c r="T211" s="6"/>
      <c r="U211" s="6"/>
      <c r="V211" s="6"/>
      <c r="W211" s="6"/>
    </row>
    <row r="212" spans="1:23" x14ac:dyDescent="0.35">
      <c r="A212" s="2">
        <v>6</v>
      </c>
      <c r="B212" s="2" t="s">
        <v>18</v>
      </c>
      <c r="C212" s="2" t="s">
        <v>17</v>
      </c>
      <c r="D212" s="2" t="s">
        <v>5</v>
      </c>
      <c r="E212" s="2">
        <f>H201+100</f>
        <v>1640</v>
      </c>
      <c r="F212" s="2">
        <v>100</v>
      </c>
      <c r="G212" s="2">
        <v>19</v>
      </c>
      <c r="H212" s="2">
        <v>4</v>
      </c>
      <c r="I212" s="2">
        <f t="shared" si="16"/>
        <v>0.44016200601663374</v>
      </c>
      <c r="J212" s="2"/>
      <c r="K212" s="2"/>
      <c r="L212" s="2"/>
      <c r="M212" s="2"/>
      <c r="N212" s="2"/>
      <c r="O212" s="2"/>
      <c r="P212" s="2"/>
      <c r="Q212" s="6"/>
      <c r="R212" s="6"/>
      <c r="S212" s="6"/>
      <c r="T212" s="6"/>
      <c r="U212" s="6"/>
      <c r="V212" s="6"/>
      <c r="W212" s="6"/>
    </row>
    <row r="213" spans="1:23" x14ac:dyDescent="0.35">
      <c r="A213" s="2">
        <v>6</v>
      </c>
      <c r="B213" s="2" t="s">
        <v>18</v>
      </c>
      <c r="C213" s="2" t="s">
        <v>17</v>
      </c>
      <c r="D213" s="2" t="s">
        <v>30</v>
      </c>
      <c r="E213" s="2">
        <f>J201+40</f>
        <v>1040</v>
      </c>
      <c r="F213" s="2">
        <v>100</v>
      </c>
      <c r="G213" s="2">
        <v>19</v>
      </c>
      <c r="H213" s="2">
        <v>8</v>
      </c>
      <c r="I213" s="2">
        <f t="shared" si="16"/>
        <v>0.55825425153329145</v>
      </c>
      <c r="J213" s="2"/>
      <c r="K213" s="2"/>
      <c r="L213" s="2"/>
      <c r="M213" s="2"/>
      <c r="N213" s="2"/>
      <c r="O213" s="2"/>
      <c r="P213" s="2"/>
      <c r="Q213" s="6"/>
      <c r="R213" s="6"/>
      <c r="S213" s="6"/>
      <c r="T213" s="6"/>
      <c r="U213" s="6"/>
      <c r="V213" s="6"/>
      <c r="W213" s="6"/>
    </row>
    <row r="214" spans="1:23" x14ac:dyDescent="0.35">
      <c r="A214" s="2">
        <v>6</v>
      </c>
      <c r="B214" s="2" t="s">
        <v>18</v>
      </c>
      <c r="C214" s="2" t="s">
        <v>17</v>
      </c>
      <c r="D214" s="2" t="s">
        <v>22</v>
      </c>
      <c r="E214" s="2">
        <f>I201</f>
        <v>785</v>
      </c>
      <c r="F214" s="2">
        <v>100</v>
      </c>
      <c r="G214" s="2">
        <v>19</v>
      </c>
      <c r="H214" s="2">
        <v>4</v>
      </c>
      <c r="I214" s="2">
        <f t="shared" si="16"/>
        <v>0.21068730166040089</v>
      </c>
      <c r="J214" s="2"/>
      <c r="K214" s="2"/>
      <c r="L214" s="2"/>
      <c r="M214" s="2"/>
      <c r="N214" s="2"/>
      <c r="O214" s="2"/>
      <c r="P214" s="2"/>
      <c r="Q214" s="6"/>
      <c r="R214" s="6"/>
      <c r="S214" s="6"/>
      <c r="T214" s="6"/>
      <c r="U214" s="6"/>
      <c r="V214" s="6"/>
      <c r="W214" s="6"/>
    </row>
    <row r="215" spans="1:23" x14ac:dyDescent="0.35">
      <c r="A215" s="2">
        <v>4</v>
      </c>
      <c r="B215" s="2" t="s">
        <v>18</v>
      </c>
      <c r="C215" s="2" t="s">
        <v>17</v>
      </c>
      <c r="D215" s="2" t="s">
        <v>23</v>
      </c>
      <c r="E215" s="2">
        <f>J201+40</f>
        <v>1040</v>
      </c>
      <c r="F215" s="2">
        <v>100</v>
      </c>
      <c r="G215" s="2">
        <v>19</v>
      </c>
      <c r="H215" s="2">
        <v>6</v>
      </c>
      <c r="I215" s="2">
        <f t="shared" si="16"/>
        <v>0.41869068864996867</v>
      </c>
      <c r="J215" s="2"/>
      <c r="K215" s="2"/>
      <c r="L215" s="2"/>
      <c r="M215" s="2"/>
      <c r="N215" s="2"/>
      <c r="O215" s="2"/>
      <c r="P215" s="2"/>
      <c r="Q215" s="6"/>
      <c r="R215" s="6"/>
      <c r="S215" s="6"/>
      <c r="T215" s="6"/>
      <c r="U215" s="6"/>
      <c r="V215" s="6"/>
      <c r="W215" s="6"/>
    </row>
    <row r="216" spans="1:23" x14ac:dyDescent="0.35">
      <c r="A216" s="2">
        <v>6</v>
      </c>
      <c r="B216" s="2" t="s">
        <v>18</v>
      </c>
      <c r="C216" s="2" t="s">
        <v>17</v>
      </c>
      <c r="D216" s="2" t="s">
        <v>22</v>
      </c>
      <c r="E216" s="2">
        <v>100</v>
      </c>
      <c r="F216" s="2">
        <v>100</v>
      </c>
      <c r="G216" s="2">
        <v>90</v>
      </c>
      <c r="H216" s="2">
        <v>12</v>
      </c>
      <c r="I216" s="2">
        <f t="shared" si="16"/>
        <v>0.38139840059207675</v>
      </c>
      <c r="J216" s="2"/>
      <c r="K216" s="2"/>
      <c r="L216" s="2"/>
      <c r="M216" s="2"/>
      <c r="N216" s="2"/>
      <c r="O216" s="2"/>
      <c r="P216" s="2"/>
      <c r="Q216" s="6"/>
      <c r="R216" s="6"/>
      <c r="S216" s="6"/>
      <c r="T216" s="6"/>
      <c r="U216" s="6"/>
      <c r="V216" s="6"/>
      <c r="W216" s="6"/>
    </row>
    <row r="217" spans="1:23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6"/>
      <c r="R217" s="6"/>
      <c r="S217" s="6"/>
      <c r="T217" s="6"/>
      <c r="U217" s="6"/>
      <c r="V217" s="6"/>
      <c r="W217" s="6"/>
    </row>
    <row r="218" spans="1:23" ht="15.5" x14ac:dyDescent="0.35">
      <c r="A218" s="3"/>
      <c r="B218" s="3"/>
      <c r="C218" s="3"/>
      <c r="D218" s="3"/>
      <c r="E218" s="3"/>
      <c r="F218" s="3"/>
      <c r="G218" s="3"/>
      <c r="H218" s="3"/>
      <c r="I218" s="4">
        <f>SUM(I206:I217)</f>
        <v>3.4759520160626782</v>
      </c>
      <c r="J218" s="4">
        <f>SUM(J203:J217)</f>
        <v>84.832530776172661</v>
      </c>
      <c r="K218" s="4">
        <f>I218+K203</f>
        <v>3.823547217668946</v>
      </c>
      <c r="L218" s="4">
        <f>J218+L203</f>
        <v>93.315783853789924</v>
      </c>
      <c r="M218" s="4">
        <f>L218*M203</f>
        <v>3545.999786444017</v>
      </c>
      <c r="N218" s="4">
        <f>K218*N203</f>
        <v>3536.7811763437749</v>
      </c>
      <c r="O218" s="4">
        <f>L218*O203</f>
        <v>933.15783853789924</v>
      </c>
      <c r="P218" s="4">
        <f>K218*P203</f>
        <v>726.47397135709969</v>
      </c>
      <c r="Q218" s="4">
        <f>K218*Q203</f>
        <v>114.70641653006838</v>
      </c>
      <c r="R218" s="4">
        <f>K218*R203</f>
        <v>76.470944353378925</v>
      </c>
      <c r="S218" s="4">
        <f>K218*S203</f>
        <v>38.235472176689463</v>
      </c>
      <c r="T218" s="4">
        <f>K218*T203</f>
        <v>38.235472176689463</v>
      </c>
      <c r="U218" s="4">
        <f>SUM(M218:T218)</f>
        <v>9010.0610779196177</v>
      </c>
      <c r="V218" s="4">
        <f>U218*V203</f>
        <v>1802.0122155839235</v>
      </c>
      <c r="W218" s="5">
        <f>U218+V218</f>
        <v>10812.073293503541</v>
      </c>
    </row>
    <row r="226" spans="1:23" ht="21" x14ac:dyDescent="0.5">
      <c r="H226" s="16">
        <f>H227/G227</f>
        <v>68.110236220472444</v>
      </c>
      <c r="I226" s="16">
        <f>I227/G227</f>
        <v>30.905511811023622</v>
      </c>
      <c r="J226" s="16">
        <f>J227/G227</f>
        <v>39.370078740157481</v>
      </c>
      <c r="K226" s="12" t="s">
        <v>37</v>
      </c>
      <c r="L226" s="11"/>
      <c r="M226" s="11"/>
      <c r="N226" s="11"/>
      <c r="O226" s="11"/>
    </row>
    <row r="227" spans="1:23" ht="18.5" x14ac:dyDescent="0.45">
      <c r="A227" s="1">
        <v>7</v>
      </c>
      <c r="B227" s="1"/>
      <c r="C227" s="1"/>
      <c r="D227" s="1"/>
      <c r="E227" s="1"/>
      <c r="F227" s="1"/>
      <c r="G227" s="1">
        <v>25.4</v>
      </c>
      <c r="H227" s="10">
        <v>1730</v>
      </c>
      <c r="I227" s="10">
        <v>785</v>
      </c>
      <c r="J227" s="10">
        <v>1000</v>
      </c>
      <c r="K227" s="10" t="s">
        <v>24</v>
      </c>
      <c r="L227" s="10">
        <v>12</v>
      </c>
      <c r="M227" s="10" t="s">
        <v>38</v>
      </c>
      <c r="N227" s="10" t="s">
        <v>24</v>
      </c>
      <c r="O227" s="13"/>
      <c r="P227" s="8"/>
      <c r="Q227" s="9"/>
      <c r="R227" s="1"/>
      <c r="S227" s="1"/>
      <c r="T227" s="1"/>
      <c r="U227" s="1"/>
      <c r="V227" s="1"/>
      <c r="W227" s="1"/>
    </row>
    <row r="228" spans="1:23" ht="15.5" x14ac:dyDescent="0.35">
      <c r="A228" s="4" t="s">
        <v>6</v>
      </c>
      <c r="B228" s="4" t="s">
        <v>7</v>
      </c>
      <c r="C228" s="4" t="s">
        <v>8</v>
      </c>
      <c r="D228" s="4" t="s">
        <v>19</v>
      </c>
      <c r="E228" s="4" t="s">
        <v>9</v>
      </c>
      <c r="F228" s="4" t="s">
        <v>20</v>
      </c>
      <c r="G228" s="4" t="s">
        <v>21</v>
      </c>
      <c r="H228" s="4" t="s">
        <v>1</v>
      </c>
      <c r="I228" s="4" t="s">
        <v>10</v>
      </c>
      <c r="J228" s="4" t="s">
        <v>25</v>
      </c>
      <c r="K228" s="4" t="s">
        <v>32</v>
      </c>
      <c r="L228" s="4" t="s">
        <v>32</v>
      </c>
      <c r="M228" s="4" t="s">
        <v>31</v>
      </c>
      <c r="N228" s="4" t="s">
        <v>11</v>
      </c>
      <c r="O228" s="4" t="s">
        <v>33</v>
      </c>
      <c r="P228" s="4" t="s">
        <v>12</v>
      </c>
      <c r="Q228" s="4" t="s">
        <v>13</v>
      </c>
      <c r="R228" s="4" t="s">
        <v>34</v>
      </c>
      <c r="S228" s="4" t="s">
        <v>35</v>
      </c>
      <c r="T228" s="4" t="s">
        <v>36</v>
      </c>
      <c r="U228" s="4" t="s">
        <v>0</v>
      </c>
      <c r="V228" s="4" t="s">
        <v>14</v>
      </c>
      <c r="W228" s="4" t="s">
        <v>15</v>
      </c>
    </row>
    <row r="229" spans="1:23" ht="15.5" x14ac:dyDescent="0.35">
      <c r="A229" s="2">
        <v>1</v>
      </c>
      <c r="B229" s="2" t="s">
        <v>18</v>
      </c>
      <c r="C229" s="2" t="s">
        <v>26</v>
      </c>
      <c r="D229" s="2" t="s">
        <v>2</v>
      </c>
      <c r="E229" s="2">
        <f>H227+100</f>
        <v>1830</v>
      </c>
      <c r="F229" s="2">
        <f>I227+80</f>
        <v>865</v>
      </c>
      <c r="G229" s="2"/>
      <c r="H229" s="2">
        <v>2</v>
      </c>
      <c r="I229" s="2"/>
      <c r="J229" s="15">
        <f>E229*F229*H229/304.8/304.8</f>
        <v>34.077463988261307</v>
      </c>
      <c r="K229" s="4">
        <f>I243*10%</f>
        <v>0.36161865576137098</v>
      </c>
      <c r="L229" s="4">
        <f>J243*10%</f>
        <v>9.2624525526828823</v>
      </c>
      <c r="M229" s="4">
        <v>38</v>
      </c>
      <c r="N229" s="4">
        <v>925</v>
      </c>
      <c r="O229" s="4">
        <v>10</v>
      </c>
      <c r="P229" s="4">
        <v>190</v>
      </c>
      <c r="Q229" s="4">
        <v>30</v>
      </c>
      <c r="R229" s="4">
        <v>20</v>
      </c>
      <c r="S229" s="4">
        <v>10</v>
      </c>
      <c r="T229" s="4">
        <v>10</v>
      </c>
      <c r="U229" s="4"/>
      <c r="V229" s="14">
        <v>0.2</v>
      </c>
      <c r="W229" s="4"/>
    </row>
    <row r="230" spans="1:23" ht="15.5" x14ac:dyDescent="0.35">
      <c r="A230" s="2">
        <v>2</v>
      </c>
      <c r="B230" s="2" t="s">
        <v>18</v>
      </c>
      <c r="C230" s="2" t="s">
        <v>26</v>
      </c>
      <c r="D230" s="2" t="s">
        <v>3</v>
      </c>
      <c r="E230" s="2">
        <f>H227+100</f>
        <v>1830</v>
      </c>
      <c r="F230" s="2">
        <f>J227+40</f>
        <v>1040</v>
      </c>
      <c r="G230" s="2"/>
      <c r="H230" s="2">
        <v>2</v>
      </c>
      <c r="I230" s="2"/>
      <c r="J230" s="15">
        <f>E230*F230*H230/304.8/304.8</f>
        <v>40.971748610163885</v>
      </c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</row>
    <row r="231" spans="1:23" ht="15.5" x14ac:dyDescent="0.35">
      <c r="A231" s="2">
        <v>3</v>
      </c>
      <c r="B231" s="2" t="s">
        <v>18</v>
      </c>
      <c r="C231" s="2" t="s">
        <v>26</v>
      </c>
      <c r="D231" s="2" t="s">
        <v>4</v>
      </c>
      <c r="E231" s="2">
        <f>I227</f>
        <v>785</v>
      </c>
      <c r="F231" s="2">
        <f>J227+40</f>
        <v>1040</v>
      </c>
      <c r="G231" s="2"/>
      <c r="H231" s="2">
        <v>2</v>
      </c>
      <c r="I231" s="2"/>
      <c r="J231" s="15">
        <f>E231*F231*H231/304.8/304.8</f>
        <v>17.575312928403633</v>
      </c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</row>
    <row r="232" spans="1:23" ht="15.5" x14ac:dyDescent="0.35">
      <c r="A232" s="2">
        <v>5</v>
      </c>
      <c r="B232" s="2" t="s">
        <v>18</v>
      </c>
      <c r="C232" s="2" t="s">
        <v>17</v>
      </c>
      <c r="D232" s="2" t="s">
        <v>16</v>
      </c>
      <c r="E232" s="2">
        <f>H227+100</f>
        <v>1830</v>
      </c>
      <c r="F232" s="2">
        <v>100</v>
      </c>
      <c r="G232" s="2">
        <v>19</v>
      </c>
      <c r="H232" s="2">
        <v>2</v>
      </c>
      <c r="I232" s="2">
        <f t="shared" ref="I232:I241" si="18">E232*F232*G232*H232/304.8/304.8/304.8</f>
        <v>0.2455781923812316</v>
      </c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</row>
    <row r="233" spans="1:23" ht="15.5" x14ac:dyDescent="0.35">
      <c r="A233" s="2">
        <v>6</v>
      </c>
      <c r="B233" s="2" t="s">
        <v>18</v>
      </c>
      <c r="C233" s="2" t="s">
        <v>17</v>
      </c>
      <c r="D233" s="2" t="s">
        <v>27</v>
      </c>
      <c r="E233" s="2">
        <f>I227+80</f>
        <v>865</v>
      </c>
      <c r="F233" s="2">
        <v>100</v>
      </c>
      <c r="G233" s="2">
        <v>19</v>
      </c>
      <c r="H233" s="2">
        <v>4</v>
      </c>
      <c r="I233" s="2">
        <f t="shared" si="18"/>
        <v>0.23215861902706597</v>
      </c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</row>
    <row r="234" spans="1:23" x14ac:dyDescent="0.35">
      <c r="A234" s="2">
        <v>6</v>
      </c>
      <c r="B234" s="2" t="s">
        <v>18</v>
      </c>
      <c r="C234" s="2" t="s">
        <v>17</v>
      </c>
      <c r="D234" s="2" t="s">
        <v>28</v>
      </c>
      <c r="E234" s="2">
        <f>H227+100</f>
        <v>1830</v>
      </c>
      <c r="F234" s="2">
        <v>100</v>
      </c>
      <c r="G234" s="2">
        <v>19</v>
      </c>
      <c r="H234" s="2">
        <v>5</v>
      </c>
      <c r="I234" s="2">
        <f t="shared" si="18"/>
        <v>0.61394548095307899</v>
      </c>
      <c r="J234" s="2"/>
      <c r="K234" s="2"/>
      <c r="L234" s="2"/>
      <c r="M234" s="2"/>
      <c r="N234" s="2"/>
      <c r="O234" s="2"/>
      <c r="P234" s="2"/>
      <c r="Q234" s="6"/>
      <c r="R234" s="6"/>
      <c r="S234" s="6"/>
      <c r="T234" s="6"/>
      <c r="U234" s="6"/>
      <c r="V234" s="7"/>
      <c r="W234" s="6"/>
    </row>
    <row r="235" spans="1:23" x14ac:dyDescent="0.35">
      <c r="A235" s="2">
        <v>6</v>
      </c>
      <c r="B235" s="2" t="s">
        <v>18</v>
      </c>
      <c r="C235" s="2" t="s">
        <v>17</v>
      </c>
      <c r="D235" s="2" t="s">
        <v>28</v>
      </c>
      <c r="E235" s="2">
        <f>I227+80</f>
        <v>865</v>
      </c>
      <c r="F235" s="2">
        <v>100</v>
      </c>
      <c r="G235" s="2">
        <v>19</v>
      </c>
      <c r="H235" s="2">
        <v>4</v>
      </c>
      <c r="I235" s="2">
        <f t="shared" si="18"/>
        <v>0.23215861902706597</v>
      </c>
      <c r="J235" s="2"/>
      <c r="K235" s="2"/>
      <c r="L235" s="2"/>
      <c r="M235" s="2"/>
      <c r="N235" s="2"/>
      <c r="O235" s="2"/>
      <c r="P235" s="2"/>
      <c r="Q235" s="6"/>
      <c r="R235" s="6"/>
      <c r="S235" s="6"/>
      <c r="T235" s="6"/>
      <c r="U235" s="6"/>
      <c r="V235" s="6"/>
      <c r="W235" s="6"/>
    </row>
    <row r="236" spans="1:23" x14ac:dyDescent="0.35">
      <c r="A236" s="2">
        <v>3</v>
      </c>
      <c r="B236" s="2" t="s">
        <v>18</v>
      </c>
      <c r="C236" s="2" t="s">
        <v>17</v>
      </c>
      <c r="D236" s="2" t="s">
        <v>29</v>
      </c>
      <c r="E236" s="2">
        <f>I227+80</f>
        <v>865</v>
      </c>
      <c r="F236" s="2">
        <v>100</v>
      </c>
      <c r="G236" s="2">
        <v>19</v>
      </c>
      <c r="H236" s="2">
        <v>4</v>
      </c>
      <c r="I236" s="2">
        <f t="shared" si="18"/>
        <v>0.23215861902706597</v>
      </c>
      <c r="J236" s="2"/>
      <c r="K236" s="2"/>
      <c r="L236" s="2"/>
      <c r="M236" s="2"/>
      <c r="N236" s="2"/>
      <c r="O236" s="2"/>
      <c r="P236" s="2"/>
      <c r="Q236" s="6"/>
      <c r="R236" s="6"/>
      <c r="S236" s="6"/>
      <c r="T236" s="6"/>
      <c r="U236" s="6"/>
      <c r="V236" s="6"/>
      <c r="W236" s="6"/>
    </row>
    <row r="237" spans="1:23" x14ac:dyDescent="0.35">
      <c r="A237" s="2">
        <v>6</v>
      </c>
      <c r="B237" s="2" t="s">
        <v>18</v>
      </c>
      <c r="C237" s="2" t="s">
        <v>17</v>
      </c>
      <c r="D237" s="2" t="s">
        <v>5</v>
      </c>
      <c r="E237" s="2">
        <f>H227+100</f>
        <v>1830</v>
      </c>
      <c r="F237" s="2">
        <v>100</v>
      </c>
      <c r="G237" s="2">
        <v>19</v>
      </c>
      <c r="H237" s="2">
        <v>4</v>
      </c>
      <c r="I237" s="2">
        <f t="shared" si="18"/>
        <v>0.49115638476246321</v>
      </c>
      <c r="J237" s="2"/>
      <c r="K237" s="2"/>
      <c r="L237" s="2"/>
      <c r="M237" s="2"/>
      <c r="N237" s="2"/>
      <c r="O237" s="2"/>
      <c r="P237" s="2"/>
      <c r="Q237" s="6"/>
      <c r="R237" s="6"/>
      <c r="S237" s="6"/>
      <c r="T237" s="6"/>
      <c r="U237" s="6"/>
      <c r="V237" s="6"/>
      <c r="W237" s="6"/>
    </row>
    <row r="238" spans="1:23" x14ac:dyDescent="0.35">
      <c r="A238" s="2">
        <v>6</v>
      </c>
      <c r="B238" s="2" t="s">
        <v>18</v>
      </c>
      <c r="C238" s="2" t="s">
        <v>17</v>
      </c>
      <c r="D238" s="2" t="s">
        <v>30</v>
      </c>
      <c r="E238" s="2">
        <f>J227+40</f>
        <v>1040</v>
      </c>
      <c r="F238" s="2">
        <v>100</v>
      </c>
      <c r="G238" s="2">
        <v>19</v>
      </c>
      <c r="H238" s="2">
        <v>8</v>
      </c>
      <c r="I238" s="2">
        <f t="shared" si="18"/>
        <v>0.55825425153329145</v>
      </c>
      <c r="J238" s="2"/>
      <c r="K238" s="2"/>
      <c r="L238" s="2"/>
      <c r="M238" s="2"/>
      <c r="N238" s="2"/>
      <c r="O238" s="2"/>
      <c r="P238" s="2"/>
      <c r="Q238" s="6"/>
      <c r="R238" s="6"/>
      <c r="S238" s="6"/>
      <c r="T238" s="6"/>
      <c r="U238" s="6"/>
      <c r="V238" s="6"/>
      <c r="W238" s="6"/>
    </row>
    <row r="239" spans="1:23" x14ac:dyDescent="0.35">
      <c r="A239" s="2">
        <v>6</v>
      </c>
      <c r="B239" s="2" t="s">
        <v>18</v>
      </c>
      <c r="C239" s="2" t="s">
        <v>17</v>
      </c>
      <c r="D239" s="2" t="s">
        <v>22</v>
      </c>
      <c r="E239" s="2">
        <f>I227</f>
        <v>785</v>
      </c>
      <c r="F239" s="2">
        <v>100</v>
      </c>
      <c r="G239" s="2">
        <v>19</v>
      </c>
      <c r="H239" s="2">
        <v>4</v>
      </c>
      <c r="I239" s="2">
        <f t="shared" si="18"/>
        <v>0.21068730166040089</v>
      </c>
      <c r="J239" s="2"/>
      <c r="K239" s="2"/>
      <c r="L239" s="2"/>
      <c r="M239" s="2"/>
      <c r="N239" s="2"/>
      <c r="O239" s="2"/>
      <c r="P239" s="2"/>
      <c r="Q239" s="6"/>
      <c r="R239" s="6"/>
      <c r="S239" s="6"/>
      <c r="T239" s="6"/>
      <c r="U239" s="6"/>
      <c r="V239" s="6"/>
      <c r="W239" s="6"/>
    </row>
    <row r="240" spans="1:23" x14ac:dyDescent="0.35">
      <c r="A240" s="2">
        <v>4</v>
      </c>
      <c r="B240" s="2" t="s">
        <v>18</v>
      </c>
      <c r="C240" s="2" t="s">
        <v>17</v>
      </c>
      <c r="D240" s="2" t="s">
        <v>23</v>
      </c>
      <c r="E240" s="2">
        <f>J227+40</f>
        <v>1040</v>
      </c>
      <c r="F240" s="2">
        <v>100</v>
      </c>
      <c r="G240" s="2">
        <v>19</v>
      </c>
      <c r="H240" s="2">
        <v>6</v>
      </c>
      <c r="I240" s="2">
        <f t="shared" si="18"/>
        <v>0.41869068864996867</v>
      </c>
      <c r="J240" s="2"/>
      <c r="K240" s="2"/>
      <c r="L240" s="2"/>
      <c r="M240" s="2"/>
      <c r="N240" s="2"/>
      <c r="O240" s="2"/>
      <c r="P240" s="2"/>
      <c r="Q240" s="6"/>
      <c r="R240" s="6"/>
      <c r="S240" s="6"/>
      <c r="T240" s="6"/>
      <c r="U240" s="6"/>
      <c r="V240" s="6"/>
      <c r="W240" s="6"/>
    </row>
    <row r="241" spans="1:23" x14ac:dyDescent="0.35">
      <c r="A241" s="2">
        <v>6</v>
      </c>
      <c r="B241" s="2" t="s">
        <v>18</v>
      </c>
      <c r="C241" s="2" t="s">
        <v>17</v>
      </c>
      <c r="D241" s="2" t="s">
        <v>22</v>
      </c>
      <c r="E241" s="2">
        <v>100</v>
      </c>
      <c r="F241" s="2">
        <v>100</v>
      </c>
      <c r="G241" s="2">
        <v>90</v>
      </c>
      <c r="H241" s="2">
        <f>L227</f>
        <v>12</v>
      </c>
      <c r="I241" s="2">
        <f t="shared" si="18"/>
        <v>0.38139840059207675</v>
      </c>
      <c r="J241" s="2"/>
      <c r="K241" s="2"/>
      <c r="L241" s="2"/>
      <c r="M241" s="2"/>
      <c r="N241" s="2"/>
      <c r="O241" s="2"/>
      <c r="P241" s="2"/>
      <c r="Q241" s="6"/>
      <c r="R241" s="6"/>
      <c r="S241" s="6"/>
      <c r="T241" s="6"/>
      <c r="U241" s="6"/>
      <c r="V241" s="6"/>
      <c r="W241" s="6"/>
    </row>
    <row r="242" spans="1:23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6"/>
      <c r="R242" s="6"/>
      <c r="S242" s="6"/>
      <c r="T242" s="6"/>
      <c r="U242" s="6"/>
      <c r="V242" s="6"/>
      <c r="W242" s="6"/>
    </row>
    <row r="243" spans="1:23" ht="15.5" x14ac:dyDescent="0.35">
      <c r="A243" s="3"/>
      <c r="B243" s="3"/>
      <c r="C243" s="3"/>
      <c r="D243" s="3"/>
      <c r="E243" s="3"/>
      <c r="F243" s="3"/>
      <c r="G243" s="3"/>
      <c r="H243" s="3"/>
      <c r="I243" s="4">
        <f>SUM(I232:I242)</f>
        <v>3.6161865576137093</v>
      </c>
      <c r="J243" s="4">
        <f>SUM(J229:J242)</f>
        <v>92.624525526828819</v>
      </c>
      <c r="K243" s="4">
        <f>I243+K229</f>
        <v>3.9778052133750803</v>
      </c>
      <c r="L243" s="4">
        <f>J243+L229</f>
        <v>101.88697807951171</v>
      </c>
      <c r="M243" s="4">
        <f>L243*M229</f>
        <v>3871.705167021445</v>
      </c>
      <c r="N243" s="4">
        <f>K243*N229</f>
        <v>3679.4698223719492</v>
      </c>
      <c r="O243" s="4">
        <f>L243*O229</f>
        <v>1018.8697807951171</v>
      </c>
      <c r="P243" s="4">
        <f>K243*P229</f>
        <v>755.78299054126524</v>
      </c>
      <c r="Q243" s="4">
        <f>K243*Q229</f>
        <v>119.33415640125241</v>
      </c>
      <c r="R243" s="4">
        <f>K243*R229</f>
        <v>79.55610426750161</v>
      </c>
      <c r="S243" s="4">
        <f>K243*S229</f>
        <v>39.778052133750805</v>
      </c>
      <c r="T243" s="4">
        <f>K243*T229</f>
        <v>39.778052133750805</v>
      </c>
      <c r="U243" s="4">
        <f>SUM(M243:T243)</f>
        <v>9604.2741256660302</v>
      </c>
      <c r="V243" s="4">
        <f>U243*V229</f>
        <v>1920.8548251332061</v>
      </c>
      <c r="W243" s="5">
        <f>U243+V243</f>
        <v>11525.128950799237</v>
      </c>
    </row>
    <row r="251" spans="1:23" ht="21" x14ac:dyDescent="0.5">
      <c r="H251" s="16">
        <f>H252/G252</f>
        <v>75.59055118110237</v>
      </c>
      <c r="I251" s="16">
        <f>I252/G252</f>
        <v>30.905511811023622</v>
      </c>
      <c r="J251" s="16">
        <f>J252/G252</f>
        <v>39.370078740157481</v>
      </c>
      <c r="K251" s="12" t="s">
        <v>37</v>
      </c>
      <c r="L251" s="11"/>
      <c r="M251" s="11"/>
      <c r="N251" s="11"/>
      <c r="O251" s="11"/>
    </row>
    <row r="252" spans="1:23" ht="18.5" x14ac:dyDescent="0.45">
      <c r="A252" s="1">
        <v>8</v>
      </c>
      <c r="B252" s="1"/>
      <c r="C252" s="1"/>
      <c r="D252" s="1"/>
      <c r="E252" s="1"/>
      <c r="F252" s="1"/>
      <c r="G252" s="1">
        <v>25.4</v>
      </c>
      <c r="H252" s="10">
        <v>1920</v>
      </c>
      <c r="I252" s="10">
        <v>785</v>
      </c>
      <c r="J252" s="10">
        <v>1000</v>
      </c>
      <c r="K252" s="10" t="s">
        <v>24</v>
      </c>
      <c r="L252" s="10">
        <v>12</v>
      </c>
      <c r="M252" s="10" t="s">
        <v>38</v>
      </c>
      <c r="N252" s="10" t="s">
        <v>24</v>
      </c>
      <c r="O252" s="13"/>
      <c r="P252" s="8"/>
      <c r="Q252" s="9"/>
      <c r="R252" s="1"/>
      <c r="S252" s="1"/>
      <c r="T252" s="1"/>
      <c r="U252" s="1"/>
      <c r="V252" s="1"/>
      <c r="W252" s="1"/>
    </row>
    <row r="253" spans="1:23" ht="15.5" x14ac:dyDescent="0.35">
      <c r="A253" s="4" t="s">
        <v>6</v>
      </c>
      <c r="B253" s="4" t="s">
        <v>7</v>
      </c>
      <c r="C253" s="4" t="s">
        <v>8</v>
      </c>
      <c r="D253" s="4" t="s">
        <v>19</v>
      </c>
      <c r="E253" s="4" t="s">
        <v>9</v>
      </c>
      <c r="F253" s="4" t="s">
        <v>20</v>
      </c>
      <c r="G253" s="4" t="s">
        <v>21</v>
      </c>
      <c r="H253" s="4" t="s">
        <v>1</v>
      </c>
      <c r="I253" s="4" t="s">
        <v>10</v>
      </c>
      <c r="J253" s="4" t="s">
        <v>25</v>
      </c>
      <c r="K253" s="4" t="s">
        <v>32</v>
      </c>
      <c r="L253" s="4" t="s">
        <v>32</v>
      </c>
      <c r="M253" s="4" t="s">
        <v>31</v>
      </c>
      <c r="N253" s="4" t="s">
        <v>11</v>
      </c>
      <c r="O253" s="4" t="s">
        <v>33</v>
      </c>
      <c r="P253" s="4" t="s">
        <v>12</v>
      </c>
      <c r="Q253" s="4" t="s">
        <v>13</v>
      </c>
      <c r="R253" s="4" t="s">
        <v>34</v>
      </c>
      <c r="S253" s="4" t="s">
        <v>35</v>
      </c>
      <c r="T253" s="4" t="s">
        <v>36</v>
      </c>
      <c r="U253" s="4" t="s">
        <v>0</v>
      </c>
      <c r="V253" s="4" t="s">
        <v>14</v>
      </c>
      <c r="W253" s="4" t="s">
        <v>15</v>
      </c>
    </row>
    <row r="254" spans="1:23" ht="15.5" x14ac:dyDescent="0.35">
      <c r="A254" s="2">
        <v>1</v>
      </c>
      <c r="B254" s="2" t="s">
        <v>18</v>
      </c>
      <c r="C254" s="2" t="s">
        <v>26</v>
      </c>
      <c r="D254" s="2" t="s">
        <v>2</v>
      </c>
      <c r="E254" s="2">
        <f>H252+100</f>
        <v>2020</v>
      </c>
      <c r="F254" s="2">
        <f>I252+80</f>
        <v>865</v>
      </c>
      <c r="G254" s="2"/>
      <c r="H254" s="2">
        <v>2</v>
      </c>
      <c r="I254" s="2"/>
      <c r="J254" s="15">
        <f>E254*F254*H254/304.8/304.8</f>
        <v>37.615561342233796</v>
      </c>
      <c r="K254" s="4">
        <f>I269*10%</f>
        <v>0.37564210991647407</v>
      </c>
      <c r="L254" s="4">
        <f>J269*10%</f>
        <v>10.041652027748501</v>
      </c>
      <c r="M254" s="4">
        <v>38</v>
      </c>
      <c r="N254" s="4">
        <v>925</v>
      </c>
      <c r="O254" s="4">
        <v>10</v>
      </c>
      <c r="P254" s="4">
        <v>190</v>
      </c>
      <c r="Q254" s="4">
        <v>30</v>
      </c>
      <c r="R254" s="4">
        <v>20</v>
      </c>
      <c r="S254" s="4">
        <v>10</v>
      </c>
      <c r="T254" s="4">
        <v>10</v>
      </c>
      <c r="U254" s="4"/>
      <c r="V254" s="14">
        <v>0.2</v>
      </c>
      <c r="W254" s="4"/>
    </row>
    <row r="255" spans="1:23" ht="15.5" x14ac:dyDescent="0.35">
      <c r="A255" s="2">
        <v>2</v>
      </c>
      <c r="B255" s="2" t="s">
        <v>18</v>
      </c>
      <c r="C255" s="2" t="s">
        <v>26</v>
      </c>
      <c r="D255" s="2" t="s">
        <v>3</v>
      </c>
      <c r="E255" s="2">
        <f>H252+100</f>
        <v>2020</v>
      </c>
      <c r="F255" s="2">
        <f>J252+40</f>
        <v>1040</v>
      </c>
      <c r="G255" s="2"/>
      <c r="H255" s="2">
        <v>2</v>
      </c>
      <c r="I255" s="2"/>
      <c r="J255" s="15">
        <f>E255*F255*H255/304.8/304.8</f>
        <v>45.225646006847569</v>
      </c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</row>
    <row r="256" spans="1:23" ht="15.5" x14ac:dyDescent="0.35">
      <c r="A256" s="2">
        <v>3</v>
      </c>
      <c r="B256" s="2" t="s">
        <v>18</v>
      </c>
      <c r="C256" s="2" t="s">
        <v>26</v>
      </c>
      <c r="D256" s="2" t="s">
        <v>4</v>
      </c>
      <c r="E256" s="2">
        <f>I252</f>
        <v>785</v>
      </c>
      <c r="F256" s="2">
        <f>J252+40</f>
        <v>1040</v>
      </c>
      <c r="G256" s="2"/>
      <c r="H256" s="2">
        <v>2</v>
      </c>
      <c r="I256" s="2"/>
      <c r="J256" s="15">
        <f>E256*F256*H256/304.8/304.8</f>
        <v>17.575312928403633</v>
      </c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</row>
    <row r="257" spans="1:23" ht="15.5" x14ac:dyDescent="0.35">
      <c r="A257" s="2">
        <v>5</v>
      </c>
      <c r="B257" s="2" t="s">
        <v>18</v>
      </c>
      <c r="C257" s="2" t="s">
        <v>17</v>
      </c>
      <c r="D257" s="2" t="s">
        <v>16</v>
      </c>
      <c r="E257" s="2">
        <f>H252+100</f>
        <v>2020</v>
      </c>
      <c r="F257" s="2">
        <v>100</v>
      </c>
      <c r="G257" s="2">
        <v>19</v>
      </c>
      <c r="H257" s="2">
        <v>2</v>
      </c>
      <c r="I257" s="2">
        <f t="shared" ref="I257:I267" si="19">E257*F257*G257*H257/304.8/304.8/304.8</f>
        <v>0.27107538175414636</v>
      </c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</row>
    <row r="258" spans="1:23" ht="15.5" x14ac:dyDescent="0.35">
      <c r="A258" s="2">
        <v>6</v>
      </c>
      <c r="B258" s="2" t="s">
        <v>18</v>
      </c>
      <c r="C258" s="2" t="s">
        <v>17</v>
      </c>
      <c r="D258" s="2" t="s">
        <v>27</v>
      </c>
      <c r="E258" s="2">
        <f>I252+80</f>
        <v>865</v>
      </c>
      <c r="F258" s="2">
        <v>100</v>
      </c>
      <c r="G258" s="2">
        <v>19</v>
      </c>
      <c r="H258" s="2">
        <v>4</v>
      </c>
      <c r="I258" s="2">
        <f t="shared" si="19"/>
        <v>0.23215861902706597</v>
      </c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</row>
    <row r="259" spans="1:23" x14ac:dyDescent="0.35">
      <c r="A259" s="2">
        <v>6</v>
      </c>
      <c r="B259" s="2" t="s">
        <v>18</v>
      </c>
      <c r="C259" s="2" t="s">
        <v>17</v>
      </c>
      <c r="D259" s="2" t="s">
        <v>28</v>
      </c>
      <c r="E259" s="2">
        <f>H252+100</f>
        <v>2020</v>
      </c>
      <c r="F259" s="2">
        <v>100</v>
      </c>
      <c r="G259" s="2">
        <v>19</v>
      </c>
      <c r="H259" s="2">
        <v>5</v>
      </c>
      <c r="I259" s="2">
        <f t="shared" si="19"/>
        <v>0.67768845438536596</v>
      </c>
      <c r="J259" s="2"/>
      <c r="K259" s="2"/>
      <c r="L259" s="2"/>
      <c r="M259" s="2"/>
      <c r="N259" s="2"/>
      <c r="O259" s="2"/>
      <c r="P259" s="2"/>
      <c r="Q259" s="6"/>
      <c r="R259" s="6"/>
      <c r="S259" s="6"/>
      <c r="T259" s="6"/>
      <c r="U259" s="6"/>
      <c r="V259" s="7"/>
      <c r="W259" s="6"/>
    </row>
    <row r="260" spans="1:23" x14ac:dyDescent="0.35">
      <c r="A260" s="2">
        <v>6</v>
      </c>
      <c r="B260" s="2" t="s">
        <v>18</v>
      </c>
      <c r="C260" s="2" t="s">
        <v>17</v>
      </c>
      <c r="D260" s="2" t="s">
        <v>28</v>
      </c>
      <c r="E260" s="2">
        <f>I252+80</f>
        <v>865</v>
      </c>
      <c r="F260" s="2">
        <v>100</v>
      </c>
      <c r="G260" s="2">
        <v>19</v>
      </c>
      <c r="H260" s="2">
        <v>4</v>
      </c>
      <c r="I260" s="2">
        <f t="shared" si="19"/>
        <v>0.23215861902706597</v>
      </c>
      <c r="J260" s="2"/>
      <c r="K260" s="2"/>
      <c r="L260" s="2"/>
      <c r="M260" s="2"/>
      <c r="N260" s="2"/>
      <c r="O260" s="2"/>
      <c r="P260" s="2"/>
      <c r="Q260" s="6"/>
      <c r="R260" s="6"/>
      <c r="S260" s="6"/>
      <c r="T260" s="6"/>
      <c r="U260" s="6"/>
      <c r="V260" s="6"/>
      <c r="W260" s="6"/>
    </row>
    <row r="261" spans="1:23" x14ac:dyDescent="0.35">
      <c r="A261" s="2">
        <v>3</v>
      </c>
      <c r="B261" s="2" t="s">
        <v>18</v>
      </c>
      <c r="C261" s="2" t="s">
        <v>17</v>
      </c>
      <c r="D261" s="2" t="s">
        <v>29</v>
      </c>
      <c r="E261" s="2">
        <f>I252+80</f>
        <v>865</v>
      </c>
      <c r="F261" s="2">
        <v>100</v>
      </c>
      <c r="G261" s="2">
        <v>19</v>
      </c>
      <c r="H261" s="2">
        <v>4</v>
      </c>
      <c r="I261" s="2">
        <f t="shared" ref="I261" si="20">E261*F261*G261*H261/304.8/304.8/304.8</f>
        <v>0.23215861902706597</v>
      </c>
      <c r="J261" s="2"/>
      <c r="K261" s="2"/>
      <c r="L261" s="2"/>
      <c r="M261" s="2"/>
      <c r="N261" s="2"/>
      <c r="O261" s="2"/>
      <c r="P261" s="2"/>
      <c r="Q261" s="6"/>
      <c r="R261" s="6"/>
      <c r="S261" s="6"/>
      <c r="T261" s="6"/>
      <c r="U261" s="6"/>
      <c r="V261" s="6"/>
      <c r="W261" s="6"/>
    </row>
    <row r="262" spans="1:23" x14ac:dyDescent="0.35">
      <c r="A262" s="2">
        <v>3</v>
      </c>
      <c r="B262" s="2" t="s">
        <v>18</v>
      </c>
      <c r="C262" s="2" t="s">
        <v>17</v>
      </c>
      <c r="D262" s="2" t="s">
        <v>29</v>
      </c>
      <c r="E262" s="2">
        <f>I252+80</f>
        <v>865</v>
      </c>
      <c r="F262" s="2">
        <v>100</v>
      </c>
      <c r="G262" s="2">
        <v>19</v>
      </c>
      <c r="H262" s="2">
        <v>0</v>
      </c>
      <c r="I262" s="2">
        <f t="shared" si="19"/>
        <v>0</v>
      </c>
      <c r="J262" s="2"/>
      <c r="K262" s="2"/>
      <c r="L262" s="2"/>
      <c r="M262" s="2"/>
      <c r="N262" s="2"/>
      <c r="O262" s="2"/>
      <c r="P262" s="2"/>
      <c r="Q262" s="6"/>
      <c r="R262" s="6"/>
      <c r="S262" s="6"/>
      <c r="T262" s="6"/>
      <c r="U262" s="6"/>
      <c r="V262" s="6"/>
      <c r="W262" s="6"/>
    </row>
    <row r="263" spans="1:23" x14ac:dyDescent="0.35">
      <c r="A263" s="2">
        <v>6</v>
      </c>
      <c r="B263" s="2" t="s">
        <v>18</v>
      </c>
      <c r="C263" s="2" t="s">
        <v>17</v>
      </c>
      <c r="D263" s="2" t="s">
        <v>5</v>
      </c>
      <c r="E263" s="2">
        <f>H252+100</f>
        <v>2020</v>
      </c>
      <c r="F263" s="2">
        <v>100</v>
      </c>
      <c r="G263" s="2">
        <v>19</v>
      </c>
      <c r="H263" s="2">
        <v>4</v>
      </c>
      <c r="I263" s="2">
        <f t="shared" si="19"/>
        <v>0.54215076350829272</v>
      </c>
      <c r="J263" s="2"/>
      <c r="K263" s="2"/>
      <c r="L263" s="2"/>
      <c r="M263" s="2"/>
      <c r="N263" s="2"/>
      <c r="O263" s="2"/>
      <c r="P263" s="2"/>
      <c r="Q263" s="6"/>
      <c r="R263" s="6"/>
      <c r="S263" s="6"/>
      <c r="T263" s="6"/>
      <c r="U263" s="6"/>
      <c r="V263" s="6"/>
      <c r="W263" s="6"/>
    </row>
    <row r="264" spans="1:23" x14ac:dyDescent="0.35">
      <c r="A264" s="2">
        <v>6</v>
      </c>
      <c r="B264" s="2" t="s">
        <v>18</v>
      </c>
      <c r="C264" s="2" t="s">
        <v>17</v>
      </c>
      <c r="D264" s="2" t="s">
        <v>30</v>
      </c>
      <c r="E264" s="2">
        <f>J252+40</f>
        <v>1040</v>
      </c>
      <c r="F264" s="2">
        <v>100</v>
      </c>
      <c r="G264" s="2">
        <v>19</v>
      </c>
      <c r="H264" s="2">
        <v>8</v>
      </c>
      <c r="I264" s="2">
        <f t="shared" si="19"/>
        <v>0.55825425153329145</v>
      </c>
      <c r="J264" s="2"/>
      <c r="K264" s="2"/>
      <c r="L264" s="2"/>
      <c r="M264" s="2"/>
      <c r="N264" s="2"/>
      <c r="O264" s="2"/>
      <c r="P264" s="2"/>
      <c r="Q264" s="6"/>
      <c r="R264" s="6"/>
      <c r="S264" s="6"/>
      <c r="T264" s="6"/>
      <c r="U264" s="6"/>
      <c r="V264" s="6"/>
      <c r="W264" s="6"/>
    </row>
    <row r="265" spans="1:23" x14ac:dyDescent="0.35">
      <c r="A265" s="2">
        <v>6</v>
      </c>
      <c r="B265" s="2" t="s">
        <v>18</v>
      </c>
      <c r="C265" s="2" t="s">
        <v>17</v>
      </c>
      <c r="D265" s="2" t="s">
        <v>22</v>
      </c>
      <c r="E265" s="2">
        <f>I252</f>
        <v>785</v>
      </c>
      <c r="F265" s="2">
        <v>100</v>
      </c>
      <c r="G265" s="2">
        <v>19</v>
      </c>
      <c r="H265" s="2">
        <v>4</v>
      </c>
      <c r="I265" s="2">
        <f t="shared" si="19"/>
        <v>0.21068730166040089</v>
      </c>
      <c r="J265" s="2"/>
      <c r="K265" s="2"/>
      <c r="L265" s="2"/>
      <c r="M265" s="2"/>
      <c r="N265" s="2"/>
      <c r="O265" s="2"/>
      <c r="P265" s="2"/>
      <c r="Q265" s="6"/>
      <c r="R265" s="6"/>
      <c r="S265" s="6"/>
      <c r="T265" s="6"/>
      <c r="U265" s="6"/>
      <c r="V265" s="6"/>
      <c r="W265" s="6"/>
    </row>
    <row r="266" spans="1:23" x14ac:dyDescent="0.35">
      <c r="A266" s="2">
        <v>4</v>
      </c>
      <c r="B266" s="2" t="s">
        <v>18</v>
      </c>
      <c r="C266" s="2" t="s">
        <v>17</v>
      </c>
      <c r="D266" s="2" t="s">
        <v>23</v>
      </c>
      <c r="E266" s="2">
        <f>J252+40</f>
        <v>1040</v>
      </c>
      <c r="F266" s="2">
        <v>100</v>
      </c>
      <c r="G266" s="2">
        <v>19</v>
      </c>
      <c r="H266" s="2">
        <v>6</v>
      </c>
      <c r="I266" s="2">
        <f t="shared" si="19"/>
        <v>0.41869068864996867</v>
      </c>
      <c r="J266" s="2"/>
      <c r="K266" s="2"/>
      <c r="L266" s="2"/>
      <c r="M266" s="2"/>
      <c r="N266" s="2"/>
      <c r="O266" s="2"/>
      <c r="P266" s="2"/>
      <c r="Q266" s="6"/>
      <c r="R266" s="6"/>
      <c r="S266" s="6"/>
      <c r="T266" s="6"/>
      <c r="U266" s="6"/>
      <c r="V266" s="6"/>
      <c r="W266" s="6"/>
    </row>
    <row r="267" spans="1:23" x14ac:dyDescent="0.35">
      <c r="A267" s="2">
        <v>6</v>
      </c>
      <c r="B267" s="2" t="s">
        <v>18</v>
      </c>
      <c r="C267" s="2" t="s">
        <v>17</v>
      </c>
      <c r="D267" s="2" t="s">
        <v>22</v>
      </c>
      <c r="E267" s="2">
        <v>100</v>
      </c>
      <c r="F267" s="2">
        <v>100</v>
      </c>
      <c r="G267" s="2">
        <v>90</v>
      </c>
      <c r="H267" s="2">
        <f>L252</f>
        <v>12</v>
      </c>
      <c r="I267" s="2">
        <f t="shared" si="19"/>
        <v>0.38139840059207675</v>
      </c>
      <c r="J267" s="2"/>
      <c r="K267" s="2"/>
      <c r="L267" s="2"/>
      <c r="M267" s="2"/>
      <c r="N267" s="2"/>
      <c r="O267" s="2"/>
      <c r="P267" s="2"/>
      <c r="Q267" s="6"/>
      <c r="R267" s="6"/>
      <c r="S267" s="6"/>
      <c r="T267" s="6"/>
      <c r="U267" s="6"/>
      <c r="V267" s="6"/>
      <c r="W267" s="6"/>
    </row>
    <row r="268" spans="1:23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6"/>
      <c r="R268" s="6"/>
      <c r="S268" s="6"/>
      <c r="T268" s="6"/>
      <c r="U268" s="6"/>
      <c r="V268" s="6"/>
      <c r="W268" s="6"/>
    </row>
    <row r="269" spans="1:23" ht="15.5" x14ac:dyDescent="0.35">
      <c r="A269" s="3"/>
      <c r="B269" s="3"/>
      <c r="C269" s="3"/>
      <c r="D269" s="3"/>
      <c r="E269" s="3"/>
      <c r="F269" s="3"/>
      <c r="G269" s="3"/>
      <c r="H269" s="3"/>
      <c r="I269" s="4">
        <f>SUM(I257:I268)</f>
        <v>3.7564210991647404</v>
      </c>
      <c r="J269" s="4">
        <f>SUM(J254:J268)</f>
        <v>100.41652027748501</v>
      </c>
      <c r="K269" s="4">
        <f>I269+K254</f>
        <v>4.1320632090812142</v>
      </c>
      <c r="L269" s="4">
        <f>J269+L254</f>
        <v>110.4581723052335</v>
      </c>
      <c r="M269" s="4">
        <f>L269*M254</f>
        <v>4197.4105475988736</v>
      </c>
      <c r="N269" s="4">
        <f>K269*N254</f>
        <v>3822.1584684001232</v>
      </c>
      <c r="O269" s="4">
        <f>L269*O254</f>
        <v>1104.5817230523351</v>
      </c>
      <c r="P269" s="4">
        <f>K269*P254</f>
        <v>785.09200972543067</v>
      </c>
      <c r="Q269" s="4">
        <f>K269*Q254</f>
        <v>123.96189627243642</v>
      </c>
      <c r="R269" s="4">
        <f>K269*R254</f>
        <v>82.64126418162428</v>
      </c>
      <c r="S269" s="4">
        <f>K269*S254</f>
        <v>41.32063209081214</v>
      </c>
      <c r="T269" s="4">
        <f>K269*T254</f>
        <v>41.32063209081214</v>
      </c>
      <c r="U269" s="4">
        <f>SUM(M269:T269)</f>
        <v>10198.487173412448</v>
      </c>
      <c r="V269" s="4">
        <f>U269*V254</f>
        <v>2039.6974346824898</v>
      </c>
      <c r="W269" s="5">
        <f>U269+V269</f>
        <v>12238.184608094938</v>
      </c>
    </row>
    <row r="280" spans="1:23" ht="21" x14ac:dyDescent="0.5">
      <c r="H280" s="16">
        <f>H281/G281</f>
        <v>85.433070866141733</v>
      </c>
      <c r="I280" s="16">
        <f>I281/G281</f>
        <v>19.685039370078741</v>
      </c>
      <c r="J280" s="16">
        <f>J281/G281</f>
        <v>23.622047244094489</v>
      </c>
      <c r="K280" s="12" t="s">
        <v>37</v>
      </c>
      <c r="L280" s="11"/>
      <c r="M280" s="11"/>
      <c r="N280" s="11"/>
      <c r="O280" s="11"/>
    </row>
    <row r="281" spans="1:23" ht="18.5" x14ac:dyDescent="0.45">
      <c r="A281" s="1">
        <v>8</v>
      </c>
      <c r="B281" s="1"/>
      <c r="C281" s="1"/>
      <c r="D281" s="1"/>
      <c r="E281" s="1"/>
      <c r="F281" s="1"/>
      <c r="G281" s="1">
        <v>25.4</v>
      </c>
      <c r="H281" s="10">
        <v>2170</v>
      </c>
      <c r="I281" s="10">
        <v>500</v>
      </c>
      <c r="J281" s="10">
        <v>600</v>
      </c>
      <c r="K281" s="10" t="s">
        <v>24</v>
      </c>
      <c r="L281" s="10">
        <v>12</v>
      </c>
      <c r="M281" s="10" t="s">
        <v>38</v>
      </c>
      <c r="N281" s="10" t="s">
        <v>24</v>
      </c>
      <c r="O281" s="13"/>
      <c r="P281" s="8"/>
      <c r="Q281" s="9"/>
      <c r="R281" s="1"/>
      <c r="S281" s="1"/>
      <c r="T281" s="1"/>
      <c r="U281" s="1"/>
      <c r="V281" s="1"/>
      <c r="W281" s="1"/>
    </row>
    <row r="282" spans="1:23" ht="15.5" x14ac:dyDescent="0.35">
      <c r="A282" s="4" t="s">
        <v>6</v>
      </c>
      <c r="B282" s="4" t="s">
        <v>7</v>
      </c>
      <c r="C282" s="4" t="s">
        <v>8</v>
      </c>
      <c r="D282" s="4" t="s">
        <v>19</v>
      </c>
      <c r="E282" s="4" t="s">
        <v>9</v>
      </c>
      <c r="F282" s="4" t="s">
        <v>20</v>
      </c>
      <c r="G282" s="4" t="s">
        <v>21</v>
      </c>
      <c r="H282" s="4" t="s">
        <v>1</v>
      </c>
      <c r="I282" s="4" t="s">
        <v>10</v>
      </c>
      <c r="J282" s="4" t="s">
        <v>25</v>
      </c>
      <c r="K282" s="4" t="s">
        <v>32</v>
      </c>
      <c r="L282" s="4" t="s">
        <v>32</v>
      </c>
      <c r="M282" s="4" t="s">
        <v>31</v>
      </c>
      <c r="N282" s="4" t="s">
        <v>11</v>
      </c>
      <c r="O282" s="4" t="s">
        <v>33</v>
      </c>
      <c r="P282" s="4" t="s">
        <v>12</v>
      </c>
      <c r="Q282" s="4" t="s">
        <v>13</v>
      </c>
      <c r="R282" s="4" t="s">
        <v>34</v>
      </c>
      <c r="S282" s="4" t="s">
        <v>35</v>
      </c>
      <c r="T282" s="4" t="s">
        <v>36</v>
      </c>
      <c r="U282" s="4" t="s">
        <v>0</v>
      </c>
      <c r="V282" s="4" t="s">
        <v>14</v>
      </c>
      <c r="W282" s="4" t="s">
        <v>15</v>
      </c>
    </row>
    <row r="283" spans="1:23" ht="15.5" x14ac:dyDescent="0.35">
      <c r="A283" s="2">
        <v>1</v>
      </c>
      <c r="B283" s="2" t="s">
        <v>18</v>
      </c>
      <c r="C283" s="2" t="s">
        <v>26</v>
      </c>
      <c r="D283" s="2" t="s">
        <v>2</v>
      </c>
      <c r="E283" s="2">
        <f>H281+100</f>
        <v>2270</v>
      </c>
      <c r="F283" s="2">
        <f>I281+80</f>
        <v>580</v>
      </c>
      <c r="G283" s="2"/>
      <c r="H283" s="2">
        <v>2</v>
      </c>
      <c r="I283" s="2"/>
      <c r="J283" s="15">
        <f>E283*F283*H283/304.8/304.8</f>
        <v>28.343528909280039</v>
      </c>
      <c r="K283" s="4">
        <f>I298*10%</f>
        <v>0.28048320896875095</v>
      </c>
      <c r="L283" s="4">
        <f>J298*10%</f>
        <v>6.6508049682766028</v>
      </c>
      <c r="M283" s="4">
        <v>35</v>
      </c>
      <c r="N283" s="4">
        <v>800</v>
      </c>
      <c r="O283" s="4">
        <v>10</v>
      </c>
      <c r="P283" s="4">
        <v>190</v>
      </c>
      <c r="Q283" s="4">
        <v>30</v>
      </c>
      <c r="R283" s="4">
        <v>20</v>
      </c>
      <c r="S283" s="4">
        <v>10</v>
      </c>
      <c r="T283" s="4">
        <v>10</v>
      </c>
      <c r="U283" s="4"/>
      <c r="V283" s="14">
        <v>0.2</v>
      </c>
      <c r="W283" s="4"/>
    </row>
    <row r="284" spans="1:23" ht="15.5" x14ac:dyDescent="0.35">
      <c r="A284" s="2">
        <v>2</v>
      </c>
      <c r="B284" s="2" t="s">
        <v>18</v>
      </c>
      <c r="C284" s="2" t="s">
        <v>26</v>
      </c>
      <c r="D284" s="2" t="s">
        <v>3</v>
      </c>
      <c r="E284" s="2">
        <f>H281+100</f>
        <v>2270</v>
      </c>
      <c r="F284" s="2">
        <f>J281+40</f>
        <v>640</v>
      </c>
      <c r="G284" s="2"/>
      <c r="H284" s="2">
        <v>2</v>
      </c>
      <c r="I284" s="2"/>
      <c r="J284" s="15">
        <f>E284*F284*H284/304.8/304.8</f>
        <v>31.275618106791764</v>
      </c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</row>
    <row r="285" spans="1:23" ht="15.5" x14ac:dyDescent="0.35">
      <c r="A285" s="2">
        <v>3</v>
      </c>
      <c r="B285" s="2" t="s">
        <v>18</v>
      </c>
      <c r="C285" s="2" t="s">
        <v>26</v>
      </c>
      <c r="D285" s="2" t="s">
        <v>4</v>
      </c>
      <c r="E285" s="2">
        <f>I281</f>
        <v>500</v>
      </c>
      <c r="F285" s="2">
        <f>J281+40</f>
        <v>640</v>
      </c>
      <c r="G285" s="2"/>
      <c r="H285" s="2">
        <v>2</v>
      </c>
      <c r="I285" s="2"/>
      <c r="J285" s="15">
        <f>E285*F285*H285/304.8/304.8</f>
        <v>6.8889026666942224</v>
      </c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</row>
    <row r="286" spans="1:23" ht="15.5" x14ac:dyDescent="0.35">
      <c r="A286" s="2">
        <v>5</v>
      </c>
      <c r="B286" s="2" t="s">
        <v>18</v>
      </c>
      <c r="C286" s="2" t="s">
        <v>17</v>
      </c>
      <c r="D286" s="2" t="s">
        <v>16</v>
      </c>
      <c r="E286" s="2">
        <f>H281+100</f>
        <v>2270</v>
      </c>
      <c r="F286" s="2">
        <v>100</v>
      </c>
      <c r="G286" s="2">
        <v>16</v>
      </c>
      <c r="H286" s="2">
        <v>2</v>
      </c>
      <c r="I286" s="2">
        <f t="shared" ref="I286:I296" si="21">E286*F286*G286*H286/304.8/304.8/304.8</f>
        <v>0.25652573906489312</v>
      </c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</row>
    <row r="287" spans="1:23" ht="15.5" x14ac:dyDescent="0.35">
      <c r="A287" s="2">
        <v>6</v>
      </c>
      <c r="B287" s="2" t="s">
        <v>18</v>
      </c>
      <c r="C287" s="2" t="s">
        <v>17</v>
      </c>
      <c r="D287" s="2" t="s">
        <v>27</v>
      </c>
      <c r="E287" s="2">
        <f>I281+80</f>
        <v>580</v>
      </c>
      <c r="F287" s="2">
        <v>100</v>
      </c>
      <c r="G287" s="2">
        <v>16</v>
      </c>
      <c r="H287" s="2">
        <v>4</v>
      </c>
      <c r="I287" s="2">
        <f t="shared" si="21"/>
        <v>0.13108804287016562</v>
      </c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</row>
    <row r="288" spans="1:23" x14ac:dyDescent="0.35">
      <c r="A288" s="2">
        <v>6</v>
      </c>
      <c r="B288" s="2" t="s">
        <v>18</v>
      </c>
      <c r="C288" s="2" t="s">
        <v>17</v>
      </c>
      <c r="D288" s="2" t="s">
        <v>28</v>
      </c>
      <c r="E288" s="2">
        <f>H281+100</f>
        <v>2270</v>
      </c>
      <c r="F288" s="2">
        <v>100</v>
      </c>
      <c r="G288" s="2">
        <v>16</v>
      </c>
      <c r="H288" s="2">
        <v>5</v>
      </c>
      <c r="I288" s="2">
        <f t="shared" si="21"/>
        <v>0.64131434766223272</v>
      </c>
      <c r="J288" s="2"/>
      <c r="K288" s="2"/>
      <c r="L288" s="2"/>
      <c r="M288" s="2"/>
      <c r="N288" s="2"/>
      <c r="O288" s="2"/>
      <c r="P288" s="2"/>
      <c r="Q288" s="6"/>
      <c r="R288" s="6"/>
      <c r="S288" s="6"/>
      <c r="T288" s="6"/>
      <c r="U288" s="6"/>
      <c r="V288" s="7"/>
      <c r="W288" s="6"/>
    </row>
    <row r="289" spans="1:23" x14ac:dyDescent="0.35">
      <c r="A289" s="2">
        <v>6</v>
      </c>
      <c r="B289" s="2" t="s">
        <v>18</v>
      </c>
      <c r="C289" s="2" t="s">
        <v>17</v>
      </c>
      <c r="D289" s="2" t="s">
        <v>28</v>
      </c>
      <c r="E289" s="2">
        <f>I281+80</f>
        <v>580</v>
      </c>
      <c r="F289" s="2">
        <v>100</v>
      </c>
      <c r="G289" s="2">
        <v>16</v>
      </c>
      <c r="H289" s="2">
        <v>4</v>
      </c>
      <c r="I289" s="2">
        <f t="shared" si="21"/>
        <v>0.13108804287016562</v>
      </c>
      <c r="J289" s="2"/>
      <c r="K289" s="2"/>
      <c r="L289" s="2"/>
      <c r="M289" s="2"/>
      <c r="N289" s="2"/>
      <c r="O289" s="2"/>
      <c r="P289" s="2"/>
      <c r="Q289" s="6"/>
      <c r="R289" s="6"/>
      <c r="S289" s="6"/>
      <c r="T289" s="6"/>
      <c r="U289" s="6"/>
      <c r="V289" s="6"/>
      <c r="W289" s="6"/>
    </row>
    <row r="290" spans="1:23" x14ac:dyDescent="0.35">
      <c r="A290" s="2">
        <v>3</v>
      </c>
      <c r="B290" s="2" t="s">
        <v>18</v>
      </c>
      <c r="C290" s="2" t="s">
        <v>17</v>
      </c>
      <c r="D290" s="2" t="s">
        <v>29</v>
      </c>
      <c r="E290" s="2">
        <f>I281+80</f>
        <v>580</v>
      </c>
      <c r="F290" s="2">
        <v>100</v>
      </c>
      <c r="G290" s="2">
        <v>16</v>
      </c>
      <c r="H290" s="2">
        <v>4</v>
      </c>
      <c r="I290" s="2">
        <f t="shared" si="21"/>
        <v>0.13108804287016562</v>
      </c>
      <c r="J290" s="2"/>
      <c r="K290" s="2"/>
      <c r="L290" s="2"/>
      <c r="M290" s="2"/>
      <c r="N290" s="2"/>
      <c r="O290" s="2"/>
      <c r="P290" s="2"/>
      <c r="Q290" s="6"/>
      <c r="R290" s="6"/>
      <c r="S290" s="6"/>
      <c r="T290" s="6"/>
      <c r="U290" s="6"/>
      <c r="V290" s="6"/>
      <c r="W290" s="6"/>
    </row>
    <row r="291" spans="1:23" x14ac:dyDescent="0.35">
      <c r="A291" s="2">
        <v>3</v>
      </c>
      <c r="B291" s="2" t="s">
        <v>18</v>
      </c>
      <c r="C291" s="2" t="s">
        <v>17</v>
      </c>
      <c r="D291" s="2" t="s">
        <v>29</v>
      </c>
      <c r="E291" s="2">
        <f>I281+80</f>
        <v>580</v>
      </c>
      <c r="F291" s="2">
        <v>100</v>
      </c>
      <c r="G291" s="2">
        <v>16</v>
      </c>
      <c r="H291" s="2">
        <v>0</v>
      </c>
      <c r="I291" s="2">
        <f t="shared" si="21"/>
        <v>0</v>
      </c>
      <c r="J291" s="2"/>
      <c r="K291" s="2"/>
      <c r="L291" s="2"/>
      <c r="M291" s="2"/>
      <c r="N291" s="2"/>
      <c r="O291" s="2"/>
      <c r="P291" s="2"/>
      <c r="Q291" s="6"/>
      <c r="R291" s="6"/>
      <c r="S291" s="6"/>
      <c r="T291" s="6"/>
      <c r="U291" s="6"/>
      <c r="V291" s="6"/>
      <c r="W291" s="6"/>
    </row>
    <row r="292" spans="1:23" x14ac:dyDescent="0.35">
      <c r="A292" s="2">
        <v>6</v>
      </c>
      <c r="B292" s="2" t="s">
        <v>18</v>
      </c>
      <c r="C292" s="2" t="s">
        <v>17</v>
      </c>
      <c r="D292" s="2" t="s">
        <v>5</v>
      </c>
      <c r="E292" s="2">
        <f>H281+100</f>
        <v>2270</v>
      </c>
      <c r="F292" s="2">
        <v>100</v>
      </c>
      <c r="G292" s="2">
        <v>16</v>
      </c>
      <c r="H292" s="2">
        <v>4</v>
      </c>
      <c r="I292" s="2">
        <f t="shared" si="21"/>
        <v>0.51305147812978624</v>
      </c>
      <c r="J292" s="2"/>
      <c r="K292" s="2"/>
      <c r="L292" s="2"/>
      <c r="M292" s="2"/>
      <c r="N292" s="2"/>
      <c r="O292" s="2"/>
      <c r="P292" s="2"/>
      <c r="Q292" s="6"/>
      <c r="R292" s="6"/>
      <c r="S292" s="6"/>
      <c r="T292" s="6"/>
      <c r="U292" s="6"/>
      <c r="V292" s="6"/>
      <c r="W292" s="6"/>
    </row>
    <row r="293" spans="1:23" x14ac:dyDescent="0.35">
      <c r="A293" s="2">
        <v>6</v>
      </c>
      <c r="B293" s="2" t="s">
        <v>18</v>
      </c>
      <c r="C293" s="2" t="s">
        <v>17</v>
      </c>
      <c r="D293" s="2" t="s">
        <v>30</v>
      </c>
      <c r="E293" s="2">
        <f>J281+40</f>
        <v>640</v>
      </c>
      <c r="F293" s="2">
        <v>100</v>
      </c>
      <c r="G293" s="2">
        <v>16</v>
      </c>
      <c r="H293" s="2">
        <v>8</v>
      </c>
      <c r="I293" s="2">
        <f t="shared" si="21"/>
        <v>0.2892977497824345</v>
      </c>
      <c r="J293" s="2"/>
      <c r="K293" s="2"/>
      <c r="L293" s="2"/>
      <c r="M293" s="2"/>
      <c r="N293" s="2"/>
      <c r="O293" s="2"/>
      <c r="P293" s="2"/>
      <c r="Q293" s="6"/>
      <c r="R293" s="6"/>
      <c r="S293" s="6"/>
      <c r="T293" s="6"/>
      <c r="U293" s="6"/>
      <c r="V293" s="6"/>
      <c r="W293" s="6"/>
    </row>
    <row r="294" spans="1:23" x14ac:dyDescent="0.35">
      <c r="A294" s="2">
        <v>6</v>
      </c>
      <c r="B294" s="2" t="s">
        <v>18</v>
      </c>
      <c r="C294" s="2" t="s">
        <v>17</v>
      </c>
      <c r="D294" s="2" t="s">
        <v>22</v>
      </c>
      <c r="E294" s="2">
        <f>I281</f>
        <v>500</v>
      </c>
      <c r="F294" s="2">
        <v>100</v>
      </c>
      <c r="G294" s="2">
        <v>16</v>
      </c>
      <c r="H294" s="2">
        <v>4</v>
      </c>
      <c r="I294" s="2">
        <f t="shared" si="21"/>
        <v>0.11300693350876347</v>
      </c>
      <c r="J294" s="2"/>
      <c r="K294" s="2"/>
      <c r="L294" s="2"/>
      <c r="M294" s="2"/>
      <c r="N294" s="2"/>
      <c r="O294" s="2"/>
      <c r="P294" s="2"/>
      <c r="Q294" s="6"/>
      <c r="R294" s="6"/>
      <c r="S294" s="6"/>
      <c r="T294" s="6"/>
      <c r="U294" s="6"/>
      <c r="V294" s="6"/>
      <c r="W294" s="6"/>
    </row>
    <row r="295" spans="1:23" x14ac:dyDescent="0.35">
      <c r="A295" s="2">
        <v>4</v>
      </c>
      <c r="B295" s="2" t="s">
        <v>18</v>
      </c>
      <c r="C295" s="2" t="s">
        <v>17</v>
      </c>
      <c r="D295" s="2" t="s">
        <v>23</v>
      </c>
      <c r="E295" s="2">
        <f>J281+40</f>
        <v>640</v>
      </c>
      <c r="F295" s="2">
        <v>100</v>
      </c>
      <c r="G295" s="2">
        <v>16</v>
      </c>
      <c r="H295" s="2">
        <v>6</v>
      </c>
      <c r="I295" s="2">
        <f t="shared" si="21"/>
        <v>0.21697331233682587</v>
      </c>
      <c r="J295" s="2"/>
      <c r="K295" s="2"/>
      <c r="L295" s="2"/>
      <c r="M295" s="2"/>
      <c r="N295" s="2"/>
      <c r="O295" s="2"/>
      <c r="P295" s="2"/>
      <c r="Q295" s="6"/>
      <c r="R295" s="6"/>
      <c r="S295" s="6"/>
      <c r="T295" s="6"/>
      <c r="U295" s="6"/>
      <c r="V295" s="6"/>
      <c r="W295" s="6"/>
    </row>
    <row r="296" spans="1:23" x14ac:dyDescent="0.35">
      <c r="A296" s="2">
        <v>6</v>
      </c>
      <c r="B296" s="2" t="s">
        <v>18</v>
      </c>
      <c r="C296" s="2" t="s">
        <v>17</v>
      </c>
      <c r="D296" s="2" t="s">
        <v>22</v>
      </c>
      <c r="E296" s="2">
        <v>100</v>
      </c>
      <c r="F296" s="2">
        <v>100</v>
      </c>
      <c r="G296" s="2">
        <v>90</v>
      </c>
      <c r="H296" s="2">
        <f>L281</f>
        <v>12</v>
      </c>
      <c r="I296" s="2">
        <f t="shared" si="21"/>
        <v>0.38139840059207675</v>
      </c>
      <c r="J296" s="2"/>
      <c r="K296" s="2"/>
      <c r="L296" s="2"/>
      <c r="M296" s="2"/>
      <c r="N296" s="2"/>
      <c r="O296" s="2"/>
      <c r="P296" s="2"/>
      <c r="Q296" s="6"/>
      <c r="R296" s="6"/>
      <c r="S296" s="6"/>
      <c r="T296" s="6"/>
      <c r="U296" s="6"/>
      <c r="V296" s="6"/>
      <c r="W296" s="6"/>
    </row>
    <row r="297" spans="1:23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6"/>
      <c r="R297" s="6"/>
      <c r="S297" s="6"/>
      <c r="T297" s="6"/>
      <c r="U297" s="6"/>
      <c r="V297" s="6"/>
      <c r="W297" s="6"/>
    </row>
    <row r="298" spans="1:23" ht="15.5" x14ac:dyDescent="0.35">
      <c r="A298" s="3"/>
      <c r="B298" s="3"/>
      <c r="C298" s="3"/>
      <c r="D298" s="3"/>
      <c r="E298" s="3"/>
      <c r="F298" s="3"/>
      <c r="G298" s="3"/>
      <c r="H298" s="3"/>
      <c r="I298" s="4">
        <f>SUM(I286:I297)</f>
        <v>2.8048320896875096</v>
      </c>
      <c r="J298" s="4">
        <f>SUM(J283:J297)</f>
        <v>66.508049682766028</v>
      </c>
      <c r="K298" s="4">
        <f>I298+K283</f>
        <v>3.0853152986562606</v>
      </c>
      <c r="L298" s="4">
        <f>J298+L283</f>
        <v>73.158854651042631</v>
      </c>
      <c r="M298" s="4">
        <f>L298*M283</f>
        <v>2560.5599127864921</v>
      </c>
      <c r="N298" s="4">
        <f>K298*N283</f>
        <v>2468.2522389250084</v>
      </c>
      <c r="O298" s="4">
        <f>L298*O283</f>
        <v>731.58854651042634</v>
      </c>
      <c r="P298" s="4">
        <f>K298*P283</f>
        <v>586.20990674468953</v>
      </c>
      <c r="Q298" s="4">
        <f>K298*Q283</f>
        <v>92.559458959687817</v>
      </c>
      <c r="R298" s="4">
        <f>K298*R283</f>
        <v>61.706305973125211</v>
      </c>
      <c r="S298" s="4">
        <f>K298*S283</f>
        <v>30.853152986562606</v>
      </c>
      <c r="T298" s="4">
        <f>K298*T283</f>
        <v>30.853152986562606</v>
      </c>
      <c r="U298" s="4">
        <f>SUM(M298:T298)</f>
        <v>6562.5826758725543</v>
      </c>
      <c r="V298" s="4">
        <f>U298*V283</f>
        <v>1312.5165351745109</v>
      </c>
      <c r="W298" s="5">
        <f>U298+V298</f>
        <v>7875.0992110470652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SEETHA R</cp:lastModifiedBy>
  <dcterms:created xsi:type="dcterms:W3CDTF">2018-11-09T06:31:53Z</dcterms:created>
  <dcterms:modified xsi:type="dcterms:W3CDTF">2026-07-11T08:32:01Z</dcterms:modified>
</cp:coreProperties>
</file>