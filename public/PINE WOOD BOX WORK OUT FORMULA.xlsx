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etha\Downloads\"/>
    </mc:Choice>
  </mc:AlternateContent>
  <xr:revisionPtr revIDLastSave="0" documentId="13_ncr:1_{20552D56-1630-4B9F-88F8-06E08F1D71CE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Sheet1" sheetId="1" r:id="rId1"/>
    <sheet name="Sheet2" sheetId="4" r:id="rId2"/>
    <sheet name="Sheet3" sheetId="5" r:id="rId3"/>
    <sheet name="Sheet4" sheetId="6" r:id="rId4"/>
    <sheet name="Sheet5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7" l="1"/>
  <c r="F32" i="7"/>
  <c r="K27" i="7"/>
  <c r="F31" i="7" s="1"/>
  <c r="J27" i="7"/>
  <c r="E37" i="7" s="1"/>
  <c r="I37" i="7" s="1"/>
  <c r="I27" i="7"/>
  <c r="E31" i="7" s="1"/>
  <c r="I31" i="7" s="1"/>
  <c r="K7" i="7"/>
  <c r="E15" i="7" s="1"/>
  <c r="J7" i="7"/>
  <c r="E17" i="7" s="1"/>
  <c r="I17" i="7" s="1"/>
  <c r="I7" i="7"/>
  <c r="E11" i="7" s="1"/>
  <c r="I254" i="5"/>
  <c r="E258" i="5" s="1"/>
  <c r="E282" i="5"/>
  <c r="E278" i="5"/>
  <c r="K273" i="5"/>
  <c r="F277" i="5" s="1"/>
  <c r="J273" i="5"/>
  <c r="E283" i="5" s="1"/>
  <c r="I283" i="5" s="1"/>
  <c r="I273" i="5"/>
  <c r="E277" i="5" s="1"/>
  <c r="E259" i="5"/>
  <c r="E6" i="5"/>
  <c r="K254" i="5"/>
  <c r="E263" i="5" s="1"/>
  <c r="I263" i="5" s="1"/>
  <c r="J254" i="5"/>
  <c r="F257" i="5" s="1"/>
  <c r="K43" i="6"/>
  <c r="E51" i="6" s="1"/>
  <c r="J43" i="6"/>
  <c r="E48" i="6" s="1"/>
  <c r="I43" i="6"/>
  <c r="E46" i="6" s="1"/>
  <c r="K25" i="6"/>
  <c r="J25" i="6"/>
  <c r="E30" i="6" s="1"/>
  <c r="I25" i="6"/>
  <c r="E29" i="6" s="1"/>
  <c r="K7" i="6"/>
  <c r="E16" i="6" s="1"/>
  <c r="J7" i="6"/>
  <c r="I7" i="6"/>
  <c r="I3" i="5"/>
  <c r="AC17" i="6"/>
  <c r="AB17" i="6"/>
  <c r="AC16" i="6"/>
  <c r="AB16" i="6"/>
  <c r="AA16" i="6"/>
  <c r="Z16" i="6"/>
  <c r="AC15" i="6"/>
  <c r="AB15" i="6"/>
  <c r="Z15" i="6"/>
  <c r="AC14" i="6"/>
  <c r="AB14" i="6"/>
  <c r="Z14" i="6"/>
  <c r="AC13" i="6"/>
  <c r="Z13" i="6"/>
  <c r="AC12" i="6"/>
  <c r="AB12" i="6"/>
  <c r="AA12" i="6"/>
  <c r="Z12" i="6"/>
  <c r="AC11" i="6"/>
  <c r="Z11" i="6"/>
  <c r="AC10" i="6"/>
  <c r="V10" i="6"/>
  <c r="Z10" i="6" s="1"/>
  <c r="X7" i="6"/>
  <c r="W7" i="6"/>
  <c r="V17" i="6" s="1"/>
  <c r="V7" i="6"/>
  <c r="V3" i="5"/>
  <c r="AA6" i="5" s="1"/>
  <c r="AB11" i="5"/>
  <c r="AB10" i="5"/>
  <c r="Z8" i="5"/>
  <c r="AA7" i="5"/>
  <c r="V6" i="5"/>
  <c r="J3" i="5"/>
  <c r="K3" i="5"/>
  <c r="AC6" i="5"/>
  <c r="AC7" i="5"/>
  <c r="AC8" i="5"/>
  <c r="AC9" i="5"/>
  <c r="AC10" i="5"/>
  <c r="AB12" i="5"/>
  <c r="AB13" i="5"/>
  <c r="AC13" i="5"/>
  <c r="AC12" i="5"/>
  <c r="AC11" i="5"/>
  <c r="X3" i="5"/>
  <c r="W3" i="5"/>
  <c r="Z12" i="5"/>
  <c r="Z11" i="5"/>
  <c r="Z10" i="5"/>
  <c r="Z9" i="5"/>
  <c r="Z7" i="5"/>
  <c r="Z6" i="5"/>
  <c r="I17" i="5"/>
  <c r="E20" i="5"/>
  <c r="I44" i="4"/>
  <c r="I43" i="4"/>
  <c r="I27" i="4"/>
  <c r="I26" i="4"/>
  <c r="I12" i="4"/>
  <c r="I11" i="4"/>
  <c r="I44" i="1"/>
  <c r="I43" i="1"/>
  <c r="I28" i="1"/>
  <c r="I27" i="1"/>
  <c r="I12" i="1"/>
  <c r="I11" i="1"/>
  <c r="I244" i="5"/>
  <c r="I243" i="5"/>
  <c r="I229" i="5"/>
  <c r="I228" i="5"/>
  <c r="I214" i="5"/>
  <c r="I213" i="5"/>
  <c r="I199" i="5"/>
  <c r="I198" i="5"/>
  <c r="I184" i="5"/>
  <c r="I183" i="5"/>
  <c r="I169" i="5"/>
  <c r="I168" i="5"/>
  <c r="I155" i="5"/>
  <c r="I154" i="5"/>
  <c r="I140" i="5"/>
  <c r="I139" i="5"/>
  <c r="I126" i="5"/>
  <c r="I125" i="5"/>
  <c r="I112" i="5"/>
  <c r="I111" i="5"/>
  <c r="I98" i="5"/>
  <c r="I97" i="5"/>
  <c r="I84" i="5"/>
  <c r="I83" i="5"/>
  <c r="I70" i="5"/>
  <c r="I69" i="5"/>
  <c r="I55" i="5"/>
  <c r="I54" i="5"/>
  <c r="I41" i="5"/>
  <c r="I40" i="5"/>
  <c r="I26" i="5"/>
  <c r="I25" i="5"/>
  <c r="I11" i="5"/>
  <c r="I12" i="5"/>
  <c r="K235" i="5"/>
  <c r="F239" i="5" s="1"/>
  <c r="J235" i="5"/>
  <c r="I235" i="5"/>
  <c r="K220" i="5"/>
  <c r="J220" i="5"/>
  <c r="E226" i="5" s="1"/>
  <c r="I226" i="5" s="1"/>
  <c r="I220" i="5"/>
  <c r="E224" i="5" s="1"/>
  <c r="K205" i="5"/>
  <c r="J205" i="5"/>
  <c r="I205" i="5"/>
  <c r="K190" i="5"/>
  <c r="J190" i="5"/>
  <c r="I190" i="5"/>
  <c r="E194" i="5" s="1"/>
  <c r="K175" i="5"/>
  <c r="J175" i="5"/>
  <c r="E182" i="5" s="1"/>
  <c r="I182" i="5" s="1"/>
  <c r="I175" i="5"/>
  <c r="E179" i="5" s="1"/>
  <c r="K160" i="5"/>
  <c r="J160" i="5"/>
  <c r="E166" i="5" s="1"/>
  <c r="I166" i="5" s="1"/>
  <c r="I160" i="5"/>
  <c r="K146" i="5"/>
  <c r="F150" i="5" s="1"/>
  <c r="J146" i="5"/>
  <c r="I146" i="5"/>
  <c r="E149" i="5" s="1"/>
  <c r="K131" i="5"/>
  <c r="F135" i="5" s="1"/>
  <c r="J131" i="5"/>
  <c r="E138" i="5" s="1"/>
  <c r="I138" i="5" s="1"/>
  <c r="I131" i="5"/>
  <c r="E135" i="5" s="1"/>
  <c r="K117" i="5"/>
  <c r="F121" i="5" s="1"/>
  <c r="J117" i="5"/>
  <c r="E124" i="5" s="1"/>
  <c r="I124" i="5" s="1"/>
  <c r="I117" i="5"/>
  <c r="K103" i="5"/>
  <c r="F107" i="5" s="1"/>
  <c r="J103" i="5"/>
  <c r="E109" i="5" s="1"/>
  <c r="I109" i="5" s="1"/>
  <c r="I103" i="5"/>
  <c r="K89" i="5"/>
  <c r="F93" i="5" s="1"/>
  <c r="J89" i="5"/>
  <c r="E96" i="5" s="1"/>
  <c r="I96" i="5" s="1"/>
  <c r="I89" i="5"/>
  <c r="E93" i="5" s="1"/>
  <c r="K75" i="5"/>
  <c r="F79" i="5" s="1"/>
  <c r="J75" i="5"/>
  <c r="F78" i="5" s="1"/>
  <c r="I75" i="5"/>
  <c r="E78" i="5" s="1"/>
  <c r="K61" i="5"/>
  <c r="J61" i="5"/>
  <c r="E68" i="5" s="1"/>
  <c r="I68" i="5" s="1"/>
  <c r="I61" i="5"/>
  <c r="E65" i="5" s="1"/>
  <c r="K46" i="5"/>
  <c r="F50" i="5" s="1"/>
  <c r="J46" i="5"/>
  <c r="F49" i="5" s="1"/>
  <c r="I46" i="5"/>
  <c r="E50" i="5" s="1"/>
  <c r="K32" i="5"/>
  <c r="F36" i="5" s="1"/>
  <c r="J32" i="5"/>
  <c r="E39" i="5" s="1"/>
  <c r="I39" i="5" s="1"/>
  <c r="I32" i="5"/>
  <c r="E36" i="5" s="1"/>
  <c r="I36" i="5" s="1"/>
  <c r="K17" i="5"/>
  <c r="J17" i="5"/>
  <c r="F20" i="5" s="1"/>
  <c r="I10" i="5"/>
  <c r="I9" i="5"/>
  <c r="I8" i="5"/>
  <c r="I7" i="5"/>
  <c r="I45" i="4"/>
  <c r="I42" i="4"/>
  <c r="I41" i="4"/>
  <c r="I40" i="4"/>
  <c r="I39" i="4"/>
  <c r="I38" i="4"/>
  <c r="I28" i="4"/>
  <c r="I25" i="4"/>
  <c r="I24" i="4"/>
  <c r="I23" i="4"/>
  <c r="I22" i="4"/>
  <c r="I21" i="4"/>
  <c r="I13" i="4"/>
  <c r="I10" i="4"/>
  <c r="I9" i="4"/>
  <c r="I8" i="4"/>
  <c r="I7" i="4"/>
  <c r="I6" i="4"/>
  <c r="E10" i="7" l="1"/>
  <c r="F10" i="7"/>
  <c r="I10" i="7" s="1"/>
  <c r="F11" i="7"/>
  <c r="E12" i="7"/>
  <c r="E13" i="7"/>
  <c r="E14" i="7"/>
  <c r="E16" i="7"/>
  <c r="I16" i="7" s="1"/>
  <c r="E32" i="7"/>
  <c r="I32" i="7" s="1"/>
  <c r="E33" i="7"/>
  <c r="E30" i="7"/>
  <c r="E34" i="7"/>
  <c r="I34" i="7" s="1"/>
  <c r="F30" i="7"/>
  <c r="E35" i="7"/>
  <c r="I35" i="7" s="1"/>
  <c r="E36" i="7"/>
  <c r="I36" i="7" s="1"/>
  <c r="I11" i="7"/>
  <c r="I12" i="7"/>
  <c r="I13" i="7"/>
  <c r="I14" i="7"/>
  <c r="I15" i="7"/>
  <c r="AA13" i="6"/>
  <c r="AB13" i="6"/>
  <c r="E49" i="6"/>
  <c r="E28" i="6"/>
  <c r="E53" i="6"/>
  <c r="I53" i="6" s="1"/>
  <c r="E52" i="6"/>
  <c r="E50" i="6"/>
  <c r="I50" i="6" s="1"/>
  <c r="E47" i="6"/>
  <c r="I47" i="6" s="1"/>
  <c r="F258" i="5"/>
  <c r="I258" i="5" s="1"/>
  <c r="F259" i="5"/>
  <c r="I259" i="5" s="1"/>
  <c r="E262" i="5"/>
  <c r="I262" i="5" s="1"/>
  <c r="E257" i="5"/>
  <c r="E261" i="5"/>
  <c r="I261" i="5" s="1"/>
  <c r="E260" i="5"/>
  <c r="I260" i="5" s="1"/>
  <c r="E264" i="5"/>
  <c r="I264" i="5" s="1"/>
  <c r="I277" i="5"/>
  <c r="I278" i="5"/>
  <c r="F278" i="5"/>
  <c r="E279" i="5"/>
  <c r="I279" i="5" s="1"/>
  <c r="E276" i="5"/>
  <c r="I276" i="5" s="1"/>
  <c r="E280" i="5"/>
  <c r="I280" i="5" s="1"/>
  <c r="F276" i="5"/>
  <c r="E281" i="5"/>
  <c r="I281" i="5" s="1"/>
  <c r="I282" i="5"/>
  <c r="I257" i="5"/>
  <c r="AA11" i="5"/>
  <c r="AB8" i="5"/>
  <c r="AB7" i="5"/>
  <c r="AA12" i="5"/>
  <c r="AA13" i="5"/>
  <c r="AA8" i="5"/>
  <c r="AB6" i="5"/>
  <c r="AA10" i="5"/>
  <c r="AB9" i="5"/>
  <c r="V13" i="5"/>
  <c r="AA9" i="5"/>
  <c r="I16" i="6"/>
  <c r="E15" i="6"/>
  <c r="I15" i="6" s="1"/>
  <c r="F12" i="6"/>
  <c r="F11" i="6"/>
  <c r="E17" i="6"/>
  <c r="I17" i="6" s="1"/>
  <c r="E14" i="6"/>
  <c r="I14" i="6" s="1"/>
  <c r="E13" i="6"/>
  <c r="I13" i="6" s="1"/>
  <c r="F10" i="6"/>
  <c r="E12" i="6"/>
  <c r="I12" i="6" s="1"/>
  <c r="E11" i="6"/>
  <c r="I11" i="6" s="1"/>
  <c r="E10" i="6"/>
  <c r="I10" i="6" s="1"/>
  <c r="I52" i="6"/>
  <c r="I51" i="6"/>
  <c r="F48" i="6"/>
  <c r="F47" i="6"/>
  <c r="I49" i="6"/>
  <c r="I48" i="6"/>
  <c r="F46" i="6"/>
  <c r="I46" i="6"/>
  <c r="F29" i="6"/>
  <c r="I29" i="6" s="1"/>
  <c r="E34" i="6"/>
  <c r="I34" i="6" s="1"/>
  <c r="E33" i="6"/>
  <c r="I33" i="6" s="1"/>
  <c r="F30" i="6"/>
  <c r="E35" i="6"/>
  <c r="I35" i="6" s="1"/>
  <c r="E32" i="6"/>
  <c r="I32" i="6" s="1"/>
  <c r="E31" i="6"/>
  <c r="I31" i="6" s="1"/>
  <c r="I30" i="6"/>
  <c r="F28" i="6"/>
  <c r="I28" i="6"/>
  <c r="Z17" i="6"/>
  <c r="Z18" i="6" s="1"/>
  <c r="AA15" i="6"/>
  <c r="AB11" i="6"/>
  <c r="AA14" i="6"/>
  <c r="AB10" i="6"/>
  <c r="AA17" i="6"/>
  <c r="AA11" i="6"/>
  <c r="AA10" i="6"/>
  <c r="I46" i="4"/>
  <c r="J38" i="4" s="1"/>
  <c r="J46" i="4" s="1"/>
  <c r="I29" i="4"/>
  <c r="J21" i="4" s="1"/>
  <c r="J29" i="4" s="1"/>
  <c r="F209" i="5"/>
  <c r="I215" i="5"/>
  <c r="F210" i="5"/>
  <c r="I210" i="5" s="1"/>
  <c r="E152" i="5"/>
  <c r="I152" i="5" s="1"/>
  <c r="E153" i="5"/>
  <c r="I153" i="5" s="1"/>
  <c r="E121" i="5"/>
  <c r="I121" i="5" s="1"/>
  <c r="E120" i="5"/>
  <c r="E242" i="5"/>
  <c r="I242" i="5" s="1"/>
  <c r="E241" i="5"/>
  <c r="I241" i="5" s="1"/>
  <c r="F238" i="5"/>
  <c r="E239" i="5"/>
  <c r="I239" i="5" s="1"/>
  <c r="E238" i="5"/>
  <c r="F224" i="5"/>
  <c r="I224" i="5" s="1"/>
  <c r="F225" i="5"/>
  <c r="E227" i="5"/>
  <c r="I227" i="5" s="1"/>
  <c r="F223" i="5"/>
  <c r="F208" i="5"/>
  <c r="E212" i="5"/>
  <c r="I212" i="5" s="1"/>
  <c r="E211" i="5"/>
  <c r="I211" i="5" s="1"/>
  <c r="I200" i="5"/>
  <c r="F195" i="5"/>
  <c r="E197" i="5"/>
  <c r="I197" i="5" s="1"/>
  <c r="E196" i="5"/>
  <c r="I196" i="5" s="1"/>
  <c r="F193" i="5"/>
  <c r="F179" i="5"/>
  <c r="I179" i="5" s="1"/>
  <c r="F180" i="5"/>
  <c r="E181" i="5"/>
  <c r="I181" i="5" s="1"/>
  <c r="F178" i="5"/>
  <c r="F164" i="5"/>
  <c r="F165" i="5"/>
  <c r="E167" i="5"/>
  <c r="I167" i="5" s="1"/>
  <c r="F163" i="5"/>
  <c r="E164" i="5"/>
  <c r="E163" i="5"/>
  <c r="E107" i="5"/>
  <c r="I107" i="5" s="1"/>
  <c r="E106" i="5"/>
  <c r="F65" i="5"/>
  <c r="F66" i="5"/>
  <c r="I27" i="5"/>
  <c r="F22" i="5"/>
  <c r="F21" i="5"/>
  <c r="E150" i="5"/>
  <c r="I150" i="5" s="1"/>
  <c r="F37" i="5"/>
  <c r="E95" i="5"/>
  <c r="I95" i="5" s="1"/>
  <c r="E178" i="5"/>
  <c r="E208" i="5"/>
  <c r="F94" i="5"/>
  <c r="E123" i="5"/>
  <c r="I123" i="5" s="1"/>
  <c r="F149" i="5"/>
  <c r="I149" i="5" s="1"/>
  <c r="I20" i="5"/>
  <c r="F92" i="5"/>
  <c r="F106" i="5"/>
  <c r="F120" i="5"/>
  <c r="F240" i="5"/>
  <c r="I245" i="5"/>
  <c r="E223" i="5"/>
  <c r="I230" i="5"/>
  <c r="E209" i="5"/>
  <c r="E193" i="5"/>
  <c r="F194" i="5"/>
  <c r="I194" i="5" s="1"/>
  <c r="I185" i="5"/>
  <c r="I170" i="5"/>
  <c r="F151" i="5"/>
  <c r="I156" i="5"/>
  <c r="E21" i="5"/>
  <c r="E24" i="5"/>
  <c r="I24" i="5" s="1"/>
  <c r="E53" i="5"/>
  <c r="I53" i="5" s="1"/>
  <c r="E22" i="5"/>
  <c r="E52" i="5"/>
  <c r="I52" i="5" s="1"/>
  <c r="F35" i="5"/>
  <c r="F51" i="5"/>
  <c r="F64" i="5"/>
  <c r="I113" i="5"/>
  <c r="F122" i="5"/>
  <c r="E137" i="5"/>
  <c r="I137" i="5" s="1"/>
  <c r="E38" i="5"/>
  <c r="I38" i="5" s="1"/>
  <c r="E67" i="5"/>
  <c r="I67" i="5" s="1"/>
  <c r="E35" i="5"/>
  <c r="E64" i="5"/>
  <c r="E110" i="5"/>
  <c r="I110" i="5" s="1"/>
  <c r="F136" i="5"/>
  <c r="I135" i="5"/>
  <c r="E23" i="5"/>
  <c r="I23" i="5" s="1"/>
  <c r="E49" i="5"/>
  <c r="I49" i="5" s="1"/>
  <c r="F80" i="5"/>
  <c r="F134" i="5"/>
  <c r="E134" i="5"/>
  <c r="I141" i="5"/>
  <c r="I127" i="5"/>
  <c r="F108" i="5"/>
  <c r="I108" i="5" s="1"/>
  <c r="E92" i="5"/>
  <c r="I78" i="5"/>
  <c r="E82" i="5"/>
  <c r="I82" i="5" s="1"/>
  <c r="E81" i="5"/>
  <c r="I81" i="5" s="1"/>
  <c r="E79" i="5"/>
  <c r="I79" i="5" s="1"/>
  <c r="I93" i="5"/>
  <c r="I99" i="5"/>
  <c r="I85" i="5"/>
  <c r="I65" i="5"/>
  <c r="I71" i="5"/>
  <c r="I50" i="5"/>
  <c r="I56" i="5"/>
  <c r="I37" i="5"/>
  <c r="I42" i="5"/>
  <c r="I6" i="5"/>
  <c r="I14" i="4"/>
  <c r="J6" i="4" s="1"/>
  <c r="J14" i="4" s="1"/>
  <c r="O14" i="4" s="1"/>
  <c r="I45" i="1"/>
  <c r="I42" i="1"/>
  <c r="I41" i="1"/>
  <c r="I40" i="1"/>
  <c r="I39" i="1"/>
  <c r="I38" i="1"/>
  <c r="I29" i="1"/>
  <c r="I26" i="1"/>
  <c r="I25" i="1"/>
  <c r="I24" i="1"/>
  <c r="I23" i="1"/>
  <c r="I22" i="1"/>
  <c r="I13" i="1"/>
  <c r="I10" i="1"/>
  <c r="I9" i="1"/>
  <c r="I8" i="1"/>
  <c r="I7" i="1"/>
  <c r="I6" i="1"/>
  <c r="I30" i="7" l="1"/>
  <c r="I38" i="7" s="1"/>
  <c r="J30" i="7" s="1"/>
  <c r="J38" i="7" s="1"/>
  <c r="I18" i="7"/>
  <c r="J10" i="7" s="1"/>
  <c r="J18" i="7" s="1"/>
  <c r="O18" i="7" s="1"/>
  <c r="I284" i="5"/>
  <c r="J276" i="5" s="1"/>
  <c r="J284" i="5" s="1"/>
  <c r="I265" i="5"/>
  <c r="J257" i="5" s="1"/>
  <c r="J265" i="5" s="1"/>
  <c r="P265" i="5" s="1"/>
  <c r="E13" i="5"/>
  <c r="I13" i="5" s="1"/>
  <c r="I14" i="5" s="1"/>
  <c r="J6" i="5" s="1"/>
  <c r="J14" i="5" s="1"/>
  <c r="Z13" i="5"/>
  <c r="Z14" i="5" s="1"/>
  <c r="I18" i="6"/>
  <c r="J10" i="6" s="1"/>
  <c r="J18" i="6" s="1"/>
  <c r="I54" i="6"/>
  <c r="J46" i="6" s="1"/>
  <c r="J54" i="6" s="1"/>
  <c r="I36" i="6"/>
  <c r="J28" i="6" s="1"/>
  <c r="J36" i="6" s="1"/>
  <c r="M46" i="4"/>
  <c r="K46" i="4"/>
  <c r="N46" i="4"/>
  <c r="O46" i="4"/>
  <c r="P46" i="4"/>
  <c r="L46" i="4"/>
  <c r="K29" i="4"/>
  <c r="L29" i="4"/>
  <c r="M29" i="4"/>
  <c r="N29" i="4"/>
  <c r="O29" i="4"/>
  <c r="P29" i="4"/>
  <c r="I164" i="5"/>
  <c r="I22" i="5"/>
  <c r="I92" i="5"/>
  <c r="I163" i="5"/>
  <c r="I106" i="5"/>
  <c r="I114" i="5" s="1"/>
  <c r="J106" i="5" s="1"/>
  <c r="J114" i="5" s="1"/>
  <c r="K114" i="5" s="1"/>
  <c r="I21" i="5"/>
  <c r="K14" i="5"/>
  <c r="L14" i="5"/>
  <c r="M14" i="5"/>
  <c r="I238" i="5"/>
  <c r="I120" i="5"/>
  <c r="I209" i="5"/>
  <c r="I64" i="5"/>
  <c r="I208" i="5"/>
  <c r="I225" i="5"/>
  <c r="I178" i="5"/>
  <c r="I240" i="5"/>
  <c r="I223" i="5"/>
  <c r="I195" i="5"/>
  <c r="I193" i="5"/>
  <c r="I180" i="5"/>
  <c r="I165" i="5"/>
  <c r="I35" i="5"/>
  <c r="I43" i="5" s="1"/>
  <c r="J35" i="5" s="1"/>
  <c r="J43" i="5" s="1"/>
  <c r="P43" i="5" s="1"/>
  <c r="I122" i="5"/>
  <c r="I66" i="5"/>
  <c r="I51" i="5"/>
  <c r="I57" i="5" s="1"/>
  <c r="J49" i="5" s="1"/>
  <c r="J57" i="5" s="1"/>
  <c r="L57" i="5" s="1"/>
  <c r="I134" i="5"/>
  <c r="I80" i="5"/>
  <c r="I86" i="5" s="1"/>
  <c r="J78" i="5" s="1"/>
  <c r="J86" i="5" s="1"/>
  <c r="O86" i="5" s="1"/>
  <c r="I94" i="5"/>
  <c r="I151" i="5"/>
  <c r="I157" i="5" s="1"/>
  <c r="J149" i="5" s="1"/>
  <c r="J157" i="5" s="1"/>
  <c r="L157" i="5" s="1"/>
  <c r="I136" i="5"/>
  <c r="N14" i="5"/>
  <c r="O14" i="5"/>
  <c r="P14" i="5"/>
  <c r="P14" i="4"/>
  <c r="K14" i="4"/>
  <c r="L14" i="4"/>
  <c r="M14" i="4"/>
  <c r="N14" i="4"/>
  <c r="I46" i="1"/>
  <c r="J38" i="1" s="1"/>
  <c r="J46" i="1" s="1"/>
  <c r="K46" i="1" s="1"/>
  <c r="I30" i="1"/>
  <c r="J22" i="1" s="1"/>
  <c r="J30" i="1" s="1"/>
  <c r="I14" i="1"/>
  <c r="J6" i="1" s="1"/>
  <c r="J14" i="1" s="1"/>
  <c r="P14" i="1" s="1"/>
  <c r="P38" i="7" l="1"/>
  <c r="O38" i="7"/>
  <c r="N38" i="7"/>
  <c r="M38" i="7"/>
  <c r="L38" i="7"/>
  <c r="K38" i="7"/>
  <c r="P18" i="7"/>
  <c r="K18" i="7"/>
  <c r="N18" i="7"/>
  <c r="L18" i="7"/>
  <c r="M18" i="7"/>
  <c r="P284" i="5"/>
  <c r="O284" i="5"/>
  <c r="N284" i="5"/>
  <c r="M284" i="5"/>
  <c r="L284" i="5"/>
  <c r="K284" i="5"/>
  <c r="Q284" i="5" s="1"/>
  <c r="M265" i="5"/>
  <c r="K265" i="5"/>
  <c r="L265" i="5"/>
  <c r="N265" i="5"/>
  <c r="O265" i="5"/>
  <c r="L18" i="6"/>
  <c r="N18" i="6"/>
  <c r="O18" i="6"/>
  <c r="K18" i="6"/>
  <c r="M18" i="6"/>
  <c r="P18" i="6"/>
  <c r="P54" i="6"/>
  <c r="O54" i="6"/>
  <c r="N54" i="6"/>
  <c r="M54" i="6"/>
  <c r="L54" i="6"/>
  <c r="K54" i="6"/>
  <c r="P36" i="6"/>
  <c r="Q36" i="6" s="1"/>
  <c r="L36" i="6"/>
  <c r="M36" i="6"/>
  <c r="N36" i="6"/>
  <c r="O36" i="6"/>
  <c r="K36" i="6"/>
  <c r="Q46" i="4"/>
  <c r="R46" i="4" s="1"/>
  <c r="S46" i="4" s="1"/>
  <c r="Q29" i="4"/>
  <c r="R29" i="4" s="1"/>
  <c r="S29" i="4" s="1"/>
  <c r="I100" i="5"/>
  <c r="J92" i="5" s="1"/>
  <c r="J100" i="5" s="1"/>
  <c r="I28" i="5"/>
  <c r="J20" i="5" s="1"/>
  <c r="J28" i="5" s="1"/>
  <c r="I246" i="5"/>
  <c r="J238" i="5" s="1"/>
  <c r="J246" i="5" s="1"/>
  <c r="I171" i="5"/>
  <c r="J163" i="5" s="1"/>
  <c r="J171" i="5" s="1"/>
  <c r="I72" i="5"/>
  <c r="J64" i="5" s="1"/>
  <c r="J72" i="5" s="1"/>
  <c r="I216" i="5"/>
  <c r="J208" i="5" s="1"/>
  <c r="J216" i="5" s="1"/>
  <c r="I128" i="5"/>
  <c r="J120" i="5" s="1"/>
  <c r="J128" i="5" s="1"/>
  <c r="I231" i="5"/>
  <c r="J223" i="5" s="1"/>
  <c r="J231" i="5" s="1"/>
  <c r="I186" i="5"/>
  <c r="J178" i="5" s="1"/>
  <c r="J186" i="5" s="1"/>
  <c r="I201" i="5"/>
  <c r="J193" i="5" s="1"/>
  <c r="J201" i="5" s="1"/>
  <c r="I142" i="5"/>
  <c r="J134" i="5" s="1"/>
  <c r="J142" i="5" s="1"/>
  <c r="O157" i="5"/>
  <c r="P157" i="5"/>
  <c r="M157" i="5"/>
  <c r="N157" i="5"/>
  <c r="K157" i="5"/>
  <c r="N114" i="5"/>
  <c r="L114" i="5"/>
  <c r="O114" i="5"/>
  <c r="M114" i="5"/>
  <c r="P114" i="5"/>
  <c r="M86" i="5"/>
  <c r="P86" i="5"/>
  <c r="N86" i="5"/>
  <c r="K86" i="5"/>
  <c r="L86" i="5"/>
  <c r="M57" i="5"/>
  <c r="N57" i="5"/>
  <c r="O57" i="5"/>
  <c r="P57" i="5"/>
  <c r="K57" i="5"/>
  <c r="K43" i="5"/>
  <c r="L43" i="5"/>
  <c r="M43" i="5"/>
  <c r="N43" i="5"/>
  <c r="O43" i="5"/>
  <c r="Q14" i="5"/>
  <c r="R14" i="5" s="1"/>
  <c r="Q14" i="4"/>
  <c r="R14" i="4" s="1"/>
  <c r="S14" i="4" s="1"/>
  <c r="L46" i="1"/>
  <c r="M46" i="1"/>
  <c r="N46" i="1"/>
  <c r="O46" i="1"/>
  <c r="P46" i="1"/>
  <c r="N30" i="1"/>
  <c r="M30" i="1"/>
  <c r="L30" i="1"/>
  <c r="K30" i="1"/>
  <c r="O30" i="1"/>
  <c r="P30" i="1"/>
  <c r="O14" i="1"/>
  <c r="K14" i="1"/>
  <c r="N14" i="1"/>
  <c r="M14" i="1"/>
  <c r="L14" i="1"/>
  <c r="Q38" i="7" l="1"/>
  <c r="Q18" i="7"/>
  <c r="R18" i="7" s="1"/>
  <c r="S18" i="7" s="1"/>
  <c r="R36" i="6"/>
  <c r="S36" i="6" s="1"/>
  <c r="R284" i="5"/>
  <c r="S284" i="5" s="1"/>
  <c r="Q265" i="5"/>
  <c r="R265" i="5" s="1"/>
  <c r="S265" i="5" s="1"/>
  <c r="Q18" i="6"/>
  <c r="R18" i="6" s="1"/>
  <c r="S18" i="6" s="1"/>
  <c r="Q54" i="6"/>
  <c r="R54" i="6" s="1"/>
  <c r="S54" i="6" s="1"/>
  <c r="L100" i="5"/>
  <c r="K100" i="5"/>
  <c r="P100" i="5"/>
  <c r="M28" i="5"/>
  <c r="N28" i="5"/>
  <c r="O100" i="5"/>
  <c r="N100" i="5"/>
  <c r="M100" i="5"/>
  <c r="O28" i="5"/>
  <c r="K28" i="5"/>
  <c r="P28" i="5"/>
  <c r="L28" i="5"/>
  <c r="M246" i="5"/>
  <c r="N246" i="5"/>
  <c r="P246" i="5"/>
  <c r="L171" i="5"/>
  <c r="N171" i="5"/>
  <c r="P171" i="5"/>
  <c r="M171" i="5"/>
  <c r="M72" i="5"/>
  <c r="L72" i="5"/>
  <c r="P72" i="5"/>
  <c r="K72" i="5"/>
  <c r="N72" i="5"/>
  <c r="O72" i="5"/>
  <c r="K246" i="5"/>
  <c r="L246" i="5"/>
  <c r="O246" i="5"/>
  <c r="O171" i="5"/>
  <c r="K171" i="5"/>
  <c r="N216" i="5"/>
  <c r="L216" i="5"/>
  <c r="O216" i="5"/>
  <c r="K216" i="5"/>
  <c r="M216" i="5"/>
  <c r="P216" i="5"/>
  <c r="P128" i="5"/>
  <c r="O128" i="5"/>
  <c r="N128" i="5"/>
  <c r="M128" i="5"/>
  <c r="L128" i="5"/>
  <c r="K128" i="5"/>
  <c r="K231" i="5"/>
  <c r="L231" i="5"/>
  <c r="M231" i="5"/>
  <c r="N231" i="5"/>
  <c r="O231" i="5"/>
  <c r="P231" i="5"/>
  <c r="L186" i="5"/>
  <c r="M186" i="5"/>
  <c r="N186" i="5"/>
  <c r="O186" i="5"/>
  <c r="K186" i="5"/>
  <c r="P186" i="5"/>
  <c r="N201" i="5"/>
  <c r="O201" i="5"/>
  <c r="P201" i="5"/>
  <c r="M201" i="5"/>
  <c r="K201" i="5"/>
  <c r="L201" i="5"/>
  <c r="Q46" i="1"/>
  <c r="P142" i="5"/>
  <c r="L142" i="5"/>
  <c r="K142" i="5"/>
  <c r="N142" i="5"/>
  <c r="O142" i="5"/>
  <c r="M142" i="5"/>
  <c r="Q157" i="5"/>
  <c r="R157" i="5" s="1"/>
  <c r="S157" i="5" s="1"/>
  <c r="Q114" i="5"/>
  <c r="R114" i="5" s="1"/>
  <c r="S114" i="5" s="1"/>
  <c r="Q86" i="5"/>
  <c r="R86" i="5" s="1"/>
  <c r="S86" i="5" s="1"/>
  <c r="Q57" i="5"/>
  <c r="R57" i="5" s="1"/>
  <c r="S57" i="5" s="1"/>
  <c r="Q43" i="5"/>
  <c r="R43" i="5" s="1"/>
  <c r="S43" i="5" s="1"/>
  <c r="S14" i="5"/>
  <c r="Q30" i="1"/>
  <c r="Q14" i="1"/>
  <c r="R14" i="1" s="1"/>
  <c r="S14" i="1" s="1"/>
  <c r="R38" i="7" l="1"/>
  <c r="S38" i="7" s="1"/>
  <c r="Q100" i="5"/>
  <c r="R100" i="5" s="1"/>
  <c r="S100" i="5" s="1"/>
  <c r="Q28" i="5"/>
  <c r="R28" i="5" s="1"/>
  <c r="S28" i="5" s="1"/>
  <c r="Q128" i="5"/>
  <c r="R128" i="5" s="1"/>
  <c r="S128" i="5" s="1"/>
  <c r="Q216" i="5"/>
  <c r="R216" i="5" s="1"/>
  <c r="S216" i="5" s="1"/>
  <c r="Q201" i="5"/>
  <c r="R201" i="5" s="1"/>
  <c r="S201" i="5" s="1"/>
  <c r="Q171" i="5"/>
  <c r="R171" i="5" s="1"/>
  <c r="S171" i="5" s="1"/>
  <c r="Q72" i="5"/>
  <c r="R72" i="5" s="1"/>
  <c r="S72" i="5" s="1"/>
  <c r="Q246" i="5"/>
  <c r="R246" i="5" s="1"/>
  <c r="S246" i="5" s="1"/>
  <c r="Q231" i="5"/>
  <c r="R231" i="5" s="1"/>
  <c r="S231" i="5" s="1"/>
  <c r="Q186" i="5"/>
  <c r="R186" i="5" s="1"/>
  <c r="S186" i="5" s="1"/>
  <c r="Q142" i="5"/>
  <c r="R142" i="5" s="1"/>
  <c r="S142" i="5" s="1"/>
  <c r="R46" i="1"/>
  <c r="S46" i="1" s="1"/>
  <c r="R30" i="1"/>
  <c r="S30" i="1" s="1"/>
</calcChain>
</file>

<file path=xl/sharedStrings.xml><?xml version="1.0" encoding="utf-8"?>
<sst xmlns="http://schemas.openxmlformats.org/spreadsheetml/2006/main" count="1379" uniqueCount="57">
  <si>
    <t>TOTAL</t>
  </si>
  <si>
    <t>QTY</t>
  </si>
  <si>
    <t>TOP</t>
  </si>
  <si>
    <t>SIDE</t>
  </si>
  <si>
    <t>ENS</t>
  </si>
  <si>
    <t>SR</t>
  </si>
  <si>
    <t>TRANSPORT</t>
  </si>
  <si>
    <t>S.NO</t>
  </si>
  <si>
    <t>DATE</t>
  </si>
  <si>
    <t>NAME</t>
  </si>
  <si>
    <t>LENTH</t>
  </si>
  <si>
    <t>CFT</t>
  </si>
  <si>
    <t>CFT RATE</t>
  </si>
  <si>
    <t xml:space="preserve">LABOUR </t>
  </si>
  <si>
    <t>NAIL</t>
  </si>
  <si>
    <t>PACKING COVER</t>
  </si>
  <si>
    <t>CLAMP</t>
  </si>
  <si>
    <t>PROFIT</t>
  </si>
  <si>
    <t>FINAL TOTAL</t>
  </si>
  <si>
    <t>TR</t>
  </si>
  <si>
    <t>LG</t>
  </si>
  <si>
    <t>PINE WOOD</t>
  </si>
  <si>
    <t>22.04.2026</t>
  </si>
  <si>
    <t xml:space="preserve">22 REPER BOX -  PINE WOOD BOX   75 x 35 x 35 </t>
  </si>
  <si>
    <t>SIZE</t>
  </si>
  <si>
    <t>WITH</t>
  </si>
  <si>
    <t>HIGHT</t>
  </si>
  <si>
    <t xml:space="preserve">22 REPER BOX -  PINE WOOD BOX   80 x 35 x 35 </t>
  </si>
  <si>
    <t>22 REPER BOX -  PINE WOOD BOX   80 x 35 x 24</t>
  </si>
  <si>
    <t>VEST 10%</t>
  </si>
  <si>
    <t xml:space="preserve">18 REPER BOX -  PINE WOOD BOX   38 x 35 x 35 </t>
  </si>
  <si>
    <t xml:space="preserve">18 REPER BOX -  PINE WOOD BOX   38.5 x 42.5 x 41 </t>
  </si>
  <si>
    <t>18 REPER BOX -  PINE WOOD BOX   42 x 35 x 24</t>
  </si>
  <si>
    <t xml:space="preserve"> </t>
  </si>
  <si>
    <t>22 REPER BOX -  PINE WOOD BOX   80 x 32 x 35</t>
  </si>
  <si>
    <t>18 REPER BOX -  PINE WOOD BOX   42 x 42 x 37</t>
  </si>
  <si>
    <t>18 REPER BOX -  PINE WOOD BOX   48 x 45 x 40</t>
  </si>
  <si>
    <t>18 REPER BOX -  PINE WOOD BOX   38.5 x 42.5 x 35</t>
  </si>
  <si>
    <t>18 REPER BOX -  PINE WOOD BOX   38 x 30 x 20</t>
  </si>
  <si>
    <t>18 REPER BOX -  PINE WOOD BOX   38 x 35 x 24</t>
  </si>
  <si>
    <t>18 REPER BOX -  PINE WOOD BOX   38 x 35 x 35</t>
  </si>
  <si>
    <t>22 REPER BOX -  PINE WOOD BOX   75 x 35 x 35</t>
  </si>
  <si>
    <t>22 REPER BOX -  PINE WOOD BOX   75 x 35 x 24</t>
  </si>
  <si>
    <t>26 REPER BOX -  PINE WOOD BOX   114 x 24 x 20</t>
  </si>
  <si>
    <t>18 REPER BOX -  PINE WOOD BOX   42 x 35 x 15</t>
  </si>
  <si>
    <t>18 REPER BOX -  PINE WOOD BOX   38 x 30 x 15</t>
  </si>
  <si>
    <t>18 REPER BOX -  PINE WOOD BOX   38 x 35 x 30</t>
  </si>
  <si>
    <t>ER</t>
  </si>
  <si>
    <t>ES</t>
  </si>
  <si>
    <t>26 REPER BOX -  PINE WOOD BOX   102 x 35 x 24</t>
  </si>
  <si>
    <t>CM</t>
  </si>
  <si>
    <t>INCH</t>
  </si>
  <si>
    <t xml:space="preserve">22 REPER BOX -  PINE WOOD BOX   65 x 33 x 24 </t>
  </si>
  <si>
    <t xml:space="preserve">26 REPER BOX -  PINE WOOD BOX   65 x 33 x 24 </t>
  </si>
  <si>
    <t xml:space="preserve">18 REPER BOX -  PINE WOOD BOX   65 x 33 x 24 </t>
  </si>
  <si>
    <t>18 REPER BOX -  PINE WOOD BOX   38 x 40 x 35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</si>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</sst>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9" fontId="0" fillId="0" borderId="0" xfId="0" applyNumberFormat="1"/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4" fillId="5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1" fontId="1" fillId="0" borderId="1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S46"/>
  <sheetViews>
    <sheetView workbookViewId="0">
      <selection activeCell="F15" sqref="F15"/>
    </sheetView>
  </sheetViews>
  <sheetFormatPr defaultRowHeight="14.5" x14ac:dyDescent="0.35"/>
  <cols>
    <col min="1" max="1" width="8.7265625" customWidth="1"/>
    <col min="2" max="2" width="10.54296875" customWidth="1"/>
    <col min="3" max="3" width="11.7265625" customWidth="1"/>
    <col min="6" max="6" width="11.1796875" customWidth="1"/>
    <col min="7" max="7" width="10.7265625" customWidth="1"/>
    <col min="8" max="8" width="9.7265625" customWidth="1"/>
    <col min="9" max="9" width="11.7265625" customWidth="1"/>
    <col min="10" max="10" width="10.453125" customWidth="1"/>
    <col min="11" max="11" width="10.7265625" customWidth="1"/>
    <col min="12" max="12" width="12.7265625" customWidth="1"/>
    <col min="13" max="13" width="11.1796875" customWidth="1"/>
    <col min="14" max="14" width="12.1796875" customWidth="1"/>
    <col min="15" max="15" width="17.453125" customWidth="1"/>
    <col min="16" max="16" width="10.26953125" customWidth="1"/>
    <col min="17" max="17" width="10.1796875" customWidth="1"/>
    <col min="18" max="18" width="11.453125" customWidth="1"/>
    <col min="19" max="19" width="12.7265625" customWidth="1"/>
  </cols>
  <sheetData>
    <row r="4" spans="1:19" ht="18.5" x14ac:dyDescent="0.45">
      <c r="A4" s="1"/>
      <c r="B4" s="1"/>
      <c r="C4" s="1"/>
      <c r="D4" s="1"/>
      <c r="E4" s="1"/>
      <c r="F4" s="1"/>
      <c r="G4" s="1"/>
      <c r="H4" s="18" t="s">
        <v>23</v>
      </c>
      <c r="I4" s="19"/>
      <c r="J4" s="19"/>
      <c r="K4" s="19"/>
      <c r="L4" s="19"/>
      <c r="M4" s="20"/>
      <c r="N4" s="1"/>
      <c r="O4" s="1"/>
      <c r="P4" s="1"/>
      <c r="Q4" s="1"/>
      <c r="R4" s="1"/>
      <c r="S4" s="1"/>
    </row>
    <row r="5" spans="1:19" ht="15.5" x14ac:dyDescent="0.35">
      <c r="A5" s="4" t="s">
        <v>7</v>
      </c>
      <c r="B5" s="4" t="s">
        <v>8</v>
      </c>
      <c r="C5" s="4" t="s">
        <v>9</v>
      </c>
      <c r="D5" s="4" t="s">
        <v>24</v>
      </c>
      <c r="E5" s="4" t="s">
        <v>10</v>
      </c>
      <c r="F5" s="4" t="s">
        <v>25</v>
      </c>
      <c r="G5" s="4" t="s">
        <v>26</v>
      </c>
      <c r="H5" s="4" t="s">
        <v>1</v>
      </c>
      <c r="I5" s="4" t="s">
        <v>11</v>
      </c>
      <c r="J5" s="4" t="s">
        <v>29</v>
      </c>
      <c r="K5" s="4" t="s">
        <v>12</v>
      </c>
      <c r="L5" s="4" t="s">
        <v>13</v>
      </c>
      <c r="M5" s="4" t="s">
        <v>14</v>
      </c>
      <c r="N5" s="4" t="s">
        <v>6</v>
      </c>
      <c r="O5" s="4" t="s">
        <v>15</v>
      </c>
      <c r="P5" s="4" t="s">
        <v>16</v>
      </c>
      <c r="Q5" s="4" t="s">
        <v>0</v>
      </c>
      <c r="R5" s="4" t="s">
        <v>17</v>
      </c>
      <c r="S5" s="4" t="s">
        <v>18</v>
      </c>
    </row>
    <row r="6" spans="1:19" x14ac:dyDescent="0.35">
      <c r="A6" s="2">
        <v>1</v>
      </c>
      <c r="B6" s="2" t="s">
        <v>22</v>
      </c>
      <c r="C6" s="2" t="s">
        <v>21</v>
      </c>
      <c r="D6" s="2" t="s">
        <v>2</v>
      </c>
      <c r="E6" s="2">
        <v>2005</v>
      </c>
      <c r="F6" s="2">
        <v>929</v>
      </c>
      <c r="G6" s="2">
        <v>16</v>
      </c>
      <c r="H6" s="2">
        <v>2</v>
      </c>
      <c r="I6" s="2">
        <f t="shared" ref="I6:I13" si="0">E6*F6*G6*H6/304.8/304.8/304.8</f>
        <v>2.1049179966543075</v>
      </c>
      <c r="J6" s="2">
        <f>I14*10%</f>
        <v>0.66518291995555268</v>
      </c>
      <c r="K6" s="2">
        <v>925</v>
      </c>
      <c r="L6" s="2">
        <v>190</v>
      </c>
      <c r="M6" s="6">
        <v>20</v>
      </c>
      <c r="N6" s="6">
        <v>50</v>
      </c>
      <c r="O6" s="6">
        <v>50</v>
      </c>
      <c r="P6" s="6">
        <v>30</v>
      </c>
      <c r="Q6" s="6"/>
      <c r="R6" s="7">
        <v>0.2</v>
      </c>
      <c r="S6" s="6"/>
    </row>
    <row r="7" spans="1:19" x14ac:dyDescent="0.35">
      <c r="A7" s="2">
        <v>2</v>
      </c>
      <c r="B7" s="2" t="s">
        <v>22</v>
      </c>
      <c r="C7" s="2" t="s">
        <v>21</v>
      </c>
      <c r="D7" s="2" t="s">
        <v>3</v>
      </c>
      <c r="E7" s="2">
        <v>2005</v>
      </c>
      <c r="F7" s="2">
        <v>889</v>
      </c>
      <c r="G7" s="2">
        <v>16</v>
      </c>
      <c r="H7" s="2">
        <v>2</v>
      </c>
      <c r="I7" s="2">
        <f t="shared" si="0"/>
        <v>2.0142864359802788</v>
      </c>
      <c r="J7" s="2"/>
      <c r="K7" s="2"/>
      <c r="L7" s="2"/>
      <c r="M7" s="6"/>
      <c r="N7" s="6"/>
      <c r="O7" s="6"/>
      <c r="P7" s="6"/>
      <c r="Q7" s="6"/>
      <c r="R7" s="6"/>
      <c r="S7" s="6"/>
    </row>
    <row r="8" spans="1:19" x14ac:dyDescent="0.35">
      <c r="A8" s="2">
        <v>3</v>
      </c>
      <c r="B8" s="2" t="s">
        <v>22</v>
      </c>
      <c r="C8" s="2" t="s">
        <v>21</v>
      </c>
      <c r="D8" s="2" t="s">
        <v>4</v>
      </c>
      <c r="E8" s="2">
        <v>889</v>
      </c>
      <c r="F8" s="2">
        <v>889</v>
      </c>
      <c r="G8" s="2">
        <v>16</v>
      </c>
      <c r="H8" s="2">
        <v>2</v>
      </c>
      <c r="I8" s="2">
        <f t="shared" si="0"/>
        <v>0.8931175269757945</v>
      </c>
      <c r="J8" s="2"/>
      <c r="K8" s="2"/>
      <c r="L8" s="2"/>
      <c r="M8" s="6"/>
      <c r="N8" s="6"/>
      <c r="O8" s="6"/>
      <c r="P8" s="6"/>
      <c r="Q8" s="6"/>
      <c r="R8" s="6"/>
      <c r="S8" s="6"/>
    </row>
    <row r="9" spans="1:19" x14ac:dyDescent="0.35">
      <c r="A9" s="2">
        <v>4</v>
      </c>
      <c r="B9" s="2" t="s">
        <v>22</v>
      </c>
      <c r="C9" s="2" t="s">
        <v>21</v>
      </c>
      <c r="D9" s="2" t="s">
        <v>19</v>
      </c>
      <c r="E9" s="2">
        <v>929</v>
      </c>
      <c r="F9" s="2">
        <v>75</v>
      </c>
      <c r="G9" s="2">
        <v>19</v>
      </c>
      <c r="H9" s="2">
        <v>3</v>
      </c>
      <c r="I9" s="2">
        <f t="shared" si="0"/>
        <v>0.14025131601772386</v>
      </c>
      <c r="J9" s="2"/>
      <c r="K9" s="2"/>
      <c r="L9" s="2"/>
      <c r="M9" s="6"/>
      <c r="N9" s="6"/>
      <c r="O9" s="6"/>
      <c r="P9" s="6"/>
      <c r="Q9" s="6"/>
      <c r="R9" s="6"/>
      <c r="S9" s="6"/>
    </row>
    <row r="10" spans="1:19" x14ac:dyDescent="0.35">
      <c r="A10" s="2">
        <v>5</v>
      </c>
      <c r="B10" s="2" t="s">
        <v>22</v>
      </c>
      <c r="C10" s="2" t="s">
        <v>21</v>
      </c>
      <c r="D10" s="2" t="s">
        <v>20</v>
      </c>
      <c r="E10" s="2">
        <v>929</v>
      </c>
      <c r="F10" s="2">
        <v>100</v>
      </c>
      <c r="G10" s="2">
        <v>75</v>
      </c>
      <c r="H10" s="2">
        <v>3</v>
      </c>
      <c r="I10" s="2">
        <f t="shared" si="0"/>
        <v>0.73816482114591508</v>
      </c>
      <c r="J10" s="2"/>
      <c r="K10" s="2"/>
      <c r="L10" s="2"/>
      <c r="M10" s="6"/>
      <c r="N10" s="6"/>
      <c r="O10" s="6"/>
      <c r="P10" s="6"/>
      <c r="Q10" s="6"/>
      <c r="R10" s="6"/>
      <c r="S10" s="6"/>
    </row>
    <row r="11" spans="1:19" x14ac:dyDescent="0.35">
      <c r="A11" s="2">
        <v>6</v>
      </c>
      <c r="B11" s="2" t="s">
        <v>22</v>
      </c>
      <c r="C11" s="2" t="s">
        <v>21</v>
      </c>
      <c r="D11" s="2" t="s">
        <v>5</v>
      </c>
      <c r="E11" s="2">
        <v>1039</v>
      </c>
      <c r="F11" s="2">
        <v>75</v>
      </c>
      <c r="G11" s="2">
        <v>19</v>
      </c>
      <c r="H11" s="2">
        <v>6</v>
      </c>
      <c r="I11" s="2">
        <f t="shared" ref="I11:I12" si="1">E11*F11*G11*H11/304.8/304.8/304.8</f>
        <v>0.31371607608700774</v>
      </c>
      <c r="J11" s="2"/>
      <c r="K11" s="2"/>
      <c r="L11" s="2"/>
      <c r="M11" s="6"/>
      <c r="N11" s="6"/>
      <c r="O11" s="6"/>
      <c r="P11" s="6"/>
      <c r="Q11" s="6"/>
      <c r="R11" s="6"/>
      <c r="S11" s="6"/>
    </row>
    <row r="12" spans="1:19" x14ac:dyDescent="0.35">
      <c r="A12" s="2">
        <v>7</v>
      </c>
      <c r="B12" s="2" t="s">
        <v>22</v>
      </c>
      <c r="C12" s="2" t="s">
        <v>21</v>
      </c>
      <c r="D12" s="2" t="s">
        <v>47</v>
      </c>
      <c r="E12" s="2">
        <v>889</v>
      </c>
      <c r="F12" s="2">
        <v>75</v>
      </c>
      <c r="G12" s="2">
        <v>19</v>
      </c>
      <c r="H12" s="2">
        <v>6</v>
      </c>
      <c r="I12" s="2">
        <f t="shared" si="1"/>
        <v>0.26842501601669871</v>
      </c>
      <c r="J12" s="2"/>
      <c r="K12" s="2"/>
      <c r="L12" s="2"/>
      <c r="M12" s="6"/>
      <c r="N12" s="6"/>
      <c r="O12" s="6"/>
      <c r="P12" s="6"/>
      <c r="Q12" s="6"/>
      <c r="R12" s="6"/>
      <c r="S12" s="6"/>
    </row>
    <row r="13" spans="1:19" x14ac:dyDescent="0.35">
      <c r="A13" s="2">
        <v>8</v>
      </c>
      <c r="B13" s="2" t="s">
        <v>22</v>
      </c>
      <c r="C13" s="2" t="s">
        <v>21</v>
      </c>
      <c r="D13" s="2" t="s">
        <v>48</v>
      </c>
      <c r="E13" s="2">
        <v>889</v>
      </c>
      <c r="F13" s="2">
        <v>75</v>
      </c>
      <c r="G13" s="2">
        <v>19</v>
      </c>
      <c r="H13" s="2">
        <v>4</v>
      </c>
      <c r="I13" s="2">
        <f t="shared" si="0"/>
        <v>0.17895001067779912</v>
      </c>
      <c r="J13" s="2"/>
      <c r="K13" s="2"/>
      <c r="L13" s="2"/>
      <c r="M13" s="6"/>
      <c r="N13" s="6"/>
      <c r="O13" s="6"/>
      <c r="P13" s="6"/>
      <c r="Q13" s="6"/>
      <c r="R13" s="6"/>
      <c r="S13" s="6"/>
    </row>
    <row r="14" spans="1:19" ht="15.5" x14ac:dyDescent="0.35">
      <c r="A14" s="3"/>
      <c r="B14" s="3"/>
      <c r="C14" s="3"/>
      <c r="D14" s="3"/>
      <c r="E14" s="3"/>
      <c r="F14" s="3"/>
      <c r="G14" s="3"/>
      <c r="H14" s="3"/>
      <c r="I14" s="4">
        <f>SUM(I6:I13)</f>
        <v>6.6518291995555261</v>
      </c>
      <c r="J14" s="4">
        <f>J6+I14</f>
        <v>7.3170121195110784</v>
      </c>
      <c r="K14" s="4">
        <f>J14*K6</f>
        <v>6768.2362105477478</v>
      </c>
      <c r="L14" s="4">
        <f>J14*L6</f>
        <v>1390.232302707105</v>
      </c>
      <c r="M14" s="4">
        <f>J14*M6</f>
        <v>146.34024239022156</v>
      </c>
      <c r="N14" s="4">
        <f>J14*N6</f>
        <v>365.85060597555395</v>
      </c>
      <c r="O14" s="4">
        <f>J14*O6</f>
        <v>365.85060597555395</v>
      </c>
      <c r="P14" s="4">
        <f>J14*P6</f>
        <v>219.51036358533236</v>
      </c>
      <c r="Q14" s="4">
        <f>SUM(K14:P14)</f>
        <v>9256.0203311815148</v>
      </c>
      <c r="R14" s="4">
        <f>Q14*R6</f>
        <v>1851.2040662363031</v>
      </c>
      <c r="S14" s="5">
        <f>Q14+R14</f>
        <v>11107.224397417818</v>
      </c>
    </row>
    <row r="20" spans="1:19" ht="18.5" x14ac:dyDescent="0.45">
      <c r="A20" s="1"/>
      <c r="B20" s="1"/>
      <c r="C20" s="1"/>
      <c r="D20" s="1"/>
      <c r="E20" s="1"/>
      <c r="F20" s="1"/>
      <c r="G20" s="1"/>
      <c r="H20" s="18" t="s">
        <v>27</v>
      </c>
      <c r="I20" s="19"/>
      <c r="J20" s="19"/>
      <c r="K20" s="19"/>
      <c r="L20" s="19"/>
      <c r="M20" s="20"/>
      <c r="N20" s="1"/>
      <c r="O20" s="1"/>
      <c r="P20" s="1"/>
      <c r="Q20" s="1"/>
      <c r="R20" s="1"/>
      <c r="S20" s="1"/>
    </row>
    <row r="21" spans="1:19" ht="15.5" x14ac:dyDescent="0.35">
      <c r="A21" s="4" t="s">
        <v>7</v>
      </c>
      <c r="B21" s="4" t="s">
        <v>8</v>
      </c>
      <c r="C21" s="4" t="s">
        <v>9</v>
      </c>
      <c r="D21" s="4" t="s">
        <v>24</v>
      </c>
      <c r="E21" s="4" t="s">
        <v>10</v>
      </c>
      <c r="F21" s="4" t="s">
        <v>25</v>
      </c>
      <c r="G21" s="4" t="s">
        <v>26</v>
      </c>
      <c r="H21" s="4" t="s">
        <v>1</v>
      </c>
      <c r="I21" s="4" t="s">
        <v>11</v>
      </c>
      <c r="J21" s="4" t="s">
        <v>29</v>
      </c>
      <c r="K21" s="4" t="s">
        <v>12</v>
      </c>
      <c r="L21" s="4" t="s">
        <v>13</v>
      </c>
      <c r="M21" s="4" t="s">
        <v>14</v>
      </c>
      <c r="N21" s="4" t="s">
        <v>6</v>
      </c>
      <c r="O21" s="4" t="s">
        <v>15</v>
      </c>
      <c r="P21" s="4" t="s">
        <v>16</v>
      </c>
      <c r="Q21" s="4" t="s">
        <v>0</v>
      </c>
      <c r="R21" s="4" t="s">
        <v>17</v>
      </c>
      <c r="S21" s="4" t="s">
        <v>18</v>
      </c>
    </row>
    <row r="22" spans="1:19" x14ac:dyDescent="0.35">
      <c r="A22" s="2">
        <v>1</v>
      </c>
      <c r="B22" s="2" t="s">
        <v>22</v>
      </c>
      <c r="C22" s="2" t="s">
        <v>21</v>
      </c>
      <c r="D22" s="2" t="s">
        <v>2</v>
      </c>
      <c r="E22" s="2">
        <v>2132</v>
      </c>
      <c r="F22" s="2">
        <v>929</v>
      </c>
      <c r="G22" s="2">
        <v>16</v>
      </c>
      <c r="H22" s="2">
        <v>2</v>
      </c>
      <c r="I22" s="2">
        <f t="shared" ref="I22:I29" si="2">E22*F22*G22*H22/304.8/304.8/304.8</f>
        <v>2.2382469670159519</v>
      </c>
      <c r="J22" s="2">
        <f>I30*10%</f>
        <v>0.6912746388056572</v>
      </c>
      <c r="K22" s="2">
        <v>925</v>
      </c>
      <c r="L22" s="2">
        <v>190</v>
      </c>
      <c r="M22" s="6">
        <v>20</v>
      </c>
      <c r="N22" s="6">
        <v>50</v>
      </c>
      <c r="O22" s="6">
        <v>50</v>
      </c>
      <c r="P22" s="6">
        <v>30</v>
      </c>
      <c r="Q22" s="6"/>
      <c r="R22" s="7">
        <v>0.2</v>
      </c>
      <c r="S22" s="6"/>
    </row>
    <row r="23" spans="1:19" x14ac:dyDescent="0.35">
      <c r="A23" s="2">
        <v>2</v>
      </c>
      <c r="B23" s="2" t="s">
        <v>22</v>
      </c>
      <c r="C23" s="2" t="s">
        <v>21</v>
      </c>
      <c r="D23" s="2" t="s">
        <v>3</v>
      </c>
      <c r="E23" s="2">
        <v>2132</v>
      </c>
      <c r="F23" s="2">
        <v>889</v>
      </c>
      <c r="G23" s="2">
        <v>16</v>
      </c>
      <c r="H23" s="2">
        <v>2</v>
      </c>
      <c r="I23" s="2">
        <f t="shared" si="2"/>
        <v>2.1418746541196785</v>
      </c>
      <c r="J23" s="2"/>
      <c r="K23" s="2"/>
      <c r="L23" s="2"/>
      <c r="M23" s="6"/>
      <c r="N23" s="6"/>
      <c r="O23" s="6"/>
      <c r="P23" s="6"/>
      <c r="Q23" s="6"/>
      <c r="R23" s="6"/>
      <c r="S23" s="6"/>
    </row>
    <row r="24" spans="1:19" x14ac:dyDescent="0.35">
      <c r="A24" s="2">
        <v>3</v>
      </c>
      <c r="B24" s="2" t="s">
        <v>22</v>
      </c>
      <c r="C24" s="2" t="s">
        <v>21</v>
      </c>
      <c r="D24" s="2" t="s">
        <v>4</v>
      </c>
      <c r="E24" s="2">
        <v>889</v>
      </c>
      <c r="F24" s="2">
        <v>889</v>
      </c>
      <c r="G24" s="2">
        <v>16</v>
      </c>
      <c r="H24" s="2">
        <v>2</v>
      </c>
      <c r="I24" s="2">
        <f t="shared" si="2"/>
        <v>0.8931175269757945</v>
      </c>
      <c r="J24" s="2"/>
      <c r="K24" s="2"/>
      <c r="L24" s="2"/>
      <c r="M24" s="6"/>
      <c r="N24" s="6"/>
      <c r="O24" s="6"/>
      <c r="P24" s="6"/>
      <c r="Q24" s="6"/>
      <c r="R24" s="6"/>
      <c r="S24" s="6"/>
    </row>
    <row r="25" spans="1:19" x14ac:dyDescent="0.35">
      <c r="A25" s="2">
        <v>4</v>
      </c>
      <c r="B25" s="2" t="s">
        <v>22</v>
      </c>
      <c r="C25" s="2" t="s">
        <v>21</v>
      </c>
      <c r="D25" s="2" t="s">
        <v>19</v>
      </c>
      <c r="E25" s="2">
        <v>929</v>
      </c>
      <c r="F25" s="2">
        <v>75</v>
      </c>
      <c r="G25" s="2">
        <v>19</v>
      </c>
      <c r="H25" s="2">
        <v>3</v>
      </c>
      <c r="I25" s="2">
        <f t="shared" si="2"/>
        <v>0.14025131601772386</v>
      </c>
      <c r="J25" s="2"/>
      <c r="K25" s="2"/>
      <c r="L25" s="2"/>
      <c r="M25" s="6"/>
      <c r="N25" s="6"/>
      <c r="O25" s="6"/>
      <c r="P25" s="6"/>
      <c r="Q25" s="6"/>
      <c r="R25" s="6"/>
      <c r="S25" s="6"/>
    </row>
    <row r="26" spans="1:19" x14ac:dyDescent="0.35">
      <c r="A26" s="2">
        <v>5</v>
      </c>
      <c r="B26" s="2" t="s">
        <v>22</v>
      </c>
      <c r="C26" s="2" t="s">
        <v>21</v>
      </c>
      <c r="D26" s="2" t="s">
        <v>20</v>
      </c>
      <c r="E26" s="2">
        <v>929</v>
      </c>
      <c r="F26" s="2">
        <v>100</v>
      </c>
      <c r="G26" s="2">
        <v>75</v>
      </c>
      <c r="H26" s="2">
        <v>3</v>
      </c>
      <c r="I26" s="2">
        <f t="shared" si="2"/>
        <v>0.73816482114591508</v>
      </c>
      <c r="J26" s="2"/>
      <c r="K26" s="2"/>
      <c r="L26" s="2"/>
      <c r="M26" s="6"/>
      <c r="N26" s="6"/>
      <c r="O26" s="6"/>
      <c r="P26" s="6"/>
      <c r="Q26" s="6"/>
      <c r="R26" s="6"/>
      <c r="S26" s="6"/>
    </row>
    <row r="27" spans="1:19" x14ac:dyDescent="0.35">
      <c r="A27" s="2">
        <v>6</v>
      </c>
      <c r="B27" s="2" t="s">
        <v>22</v>
      </c>
      <c r="C27" s="2" t="s">
        <v>21</v>
      </c>
      <c r="D27" s="2" t="s">
        <v>5</v>
      </c>
      <c r="E27" s="2">
        <v>1039</v>
      </c>
      <c r="F27" s="2">
        <v>75</v>
      </c>
      <c r="G27" s="2">
        <v>19</v>
      </c>
      <c r="H27" s="2">
        <v>6</v>
      </c>
      <c r="I27" s="2">
        <f t="shared" ref="I27:I28" si="3">E27*F27*G27*H27/304.8/304.8/304.8</f>
        <v>0.31371607608700774</v>
      </c>
      <c r="J27" s="2"/>
      <c r="K27" s="2"/>
      <c r="L27" s="2"/>
      <c r="M27" s="6"/>
      <c r="N27" s="6"/>
      <c r="O27" s="6"/>
      <c r="P27" s="6"/>
      <c r="Q27" s="6"/>
      <c r="R27" s="6"/>
      <c r="S27" s="6"/>
    </row>
    <row r="28" spans="1:19" x14ac:dyDescent="0.35">
      <c r="A28" s="2">
        <v>7</v>
      </c>
      <c r="B28" s="2" t="s">
        <v>22</v>
      </c>
      <c r="C28" s="2" t="s">
        <v>21</v>
      </c>
      <c r="D28" s="2" t="s">
        <v>47</v>
      </c>
      <c r="E28" s="2">
        <v>889</v>
      </c>
      <c r="F28" s="2">
        <v>75</v>
      </c>
      <c r="G28" s="2">
        <v>19</v>
      </c>
      <c r="H28" s="2">
        <v>6</v>
      </c>
      <c r="I28" s="2">
        <f t="shared" si="3"/>
        <v>0.26842501601669871</v>
      </c>
      <c r="J28" s="2"/>
      <c r="K28" s="2"/>
      <c r="L28" s="2"/>
      <c r="M28" s="6"/>
      <c r="N28" s="6"/>
      <c r="O28" s="6"/>
      <c r="P28" s="6"/>
      <c r="Q28" s="6"/>
      <c r="R28" s="6"/>
      <c r="S28" s="6"/>
    </row>
    <row r="29" spans="1:19" x14ac:dyDescent="0.35">
      <c r="A29" s="2">
        <v>8</v>
      </c>
      <c r="B29" s="2" t="s">
        <v>22</v>
      </c>
      <c r="C29" s="2" t="s">
        <v>21</v>
      </c>
      <c r="D29" s="2" t="s">
        <v>48</v>
      </c>
      <c r="E29" s="2">
        <v>889</v>
      </c>
      <c r="F29" s="2">
        <v>75</v>
      </c>
      <c r="G29" s="2">
        <v>19</v>
      </c>
      <c r="H29" s="2">
        <v>4</v>
      </c>
      <c r="I29" s="2">
        <f t="shared" si="2"/>
        <v>0.17895001067779912</v>
      </c>
      <c r="J29" s="2"/>
      <c r="K29" s="2"/>
      <c r="L29" s="2"/>
      <c r="M29" s="6"/>
      <c r="N29" s="6"/>
      <c r="O29" s="6"/>
      <c r="P29" s="6"/>
      <c r="Q29" s="6"/>
      <c r="R29" s="6"/>
      <c r="S29" s="6"/>
    </row>
    <row r="30" spans="1:19" ht="15.5" x14ac:dyDescent="0.35">
      <c r="A30" s="3"/>
      <c r="B30" s="3"/>
      <c r="C30" s="3"/>
      <c r="D30" s="3"/>
      <c r="E30" s="3"/>
      <c r="F30" s="3"/>
      <c r="G30" s="3"/>
      <c r="H30" s="3"/>
      <c r="I30" s="4">
        <f>SUM(I22:I29)</f>
        <v>6.9127463880565712</v>
      </c>
      <c r="J30" s="4">
        <f>J22+I30</f>
        <v>7.6040210268622284</v>
      </c>
      <c r="K30" s="4">
        <f>J30*K22</f>
        <v>7033.719449847561</v>
      </c>
      <c r="L30" s="4">
        <f>J30*L22</f>
        <v>1444.7639951038234</v>
      </c>
      <c r="M30" s="4">
        <f>J30*M22</f>
        <v>152.08042053724458</v>
      </c>
      <c r="N30" s="4">
        <f>J30*N22</f>
        <v>380.20105134311143</v>
      </c>
      <c r="O30" s="4">
        <f>J30*O22</f>
        <v>380.20105134311143</v>
      </c>
      <c r="P30" s="4">
        <f>J30*P22</f>
        <v>228.12063080586685</v>
      </c>
      <c r="Q30" s="4">
        <f>SUM(K30:P30)</f>
        <v>9619.0865989807189</v>
      </c>
      <c r="R30" s="4">
        <f>Q30*R22</f>
        <v>1923.8173197961439</v>
      </c>
      <c r="S30" s="5">
        <f>Q30+R30</f>
        <v>11542.903918776863</v>
      </c>
    </row>
    <row r="36" spans="1:19" ht="18.5" x14ac:dyDescent="0.45">
      <c r="A36" s="1"/>
      <c r="B36" s="1"/>
      <c r="C36" s="1"/>
      <c r="D36" s="1"/>
      <c r="E36" s="1"/>
      <c r="F36" s="1"/>
      <c r="G36" s="1"/>
      <c r="H36" s="18" t="s">
        <v>28</v>
      </c>
      <c r="I36" s="19"/>
      <c r="J36" s="19"/>
      <c r="K36" s="19"/>
      <c r="L36" s="19"/>
      <c r="M36" s="20"/>
      <c r="N36" s="1"/>
      <c r="O36" s="1"/>
      <c r="P36" s="1"/>
      <c r="Q36" s="1"/>
      <c r="R36" s="1"/>
      <c r="S36" s="1"/>
    </row>
    <row r="37" spans="1:19" ht="15.5" x14ac:dyDescent="0.35">
      <c r="A37" s="4" t="s">
        <v>7</v>
      </c>
      <c r="B37" s="4" t="s">
        <v>8</v>
      </c>
      <c r="C37" s="4" t="s">
        <v>9</v>
      </c>
      <c r="D37" s="4" t="s">
        <v>24</v>
      </c>
      <c r="E37" s="4" t="s">
        <v>10</v>
      </c>
      <c r="F37" s="4" t="s">
        <v>25</v>
      </c>
      <c r="G37" s="4" t="s">
        <v>26</v>
      </c>
      <c r="H37" s="4" t="s">
        <v>1</v>
      </c>
      <c r="I37" s="4" t="s">
        <v>11</v>
      </c>
      <c r="J37" s="4" t="s">
        <v>29</v>
      </c>
      <c r="K37" s="4" t="s">
        <v>12</v>
      </c>
      <c r="L37" s="4" t="s">
        <v>13</v>
      </c>
      <c r="M37" s="4" t="s">
        <v>14</v>
      </c>
      <c r="N37" s="4" t="s">
        <v>6</v>
      </c>
      <c r="O37" s="4" t="s">
        <v>15</v>
      </c>
      <c r="P37" s="4" t="s">
        <v>16</v>
      </c>
      <c r="Q37" s="4" t="s">
        <v>0</v>
      </c>
      <c r="R37" s="4" t="s">
        <v>17</v>
      </c>
      <c r="S37" s="4" t="s">
        <v>18</v>
      </c>
    </row>
    <row r="38" spans="1:19" x14ac:dyDescent="0.35">
      <c r="A38" s="2">
        <v>1</v>
      </c>
      <c r="B38" s="2" t="s">
        <v>22</v>
      </c>
      <c r="C38" s="2" t="s">
        <v>21</v>
      </c>
      <c r="D38" s="2" t="s">
        <v>2</v>
      </c>
      <c r="E38" s="2">
        <v>2132</v>
      </c>
      <c r="F38" s="2">
        <v>929</v>
      </c>
      <c r="G38" s="2">
        <v>16</v>
      </c>
      <c r="H38" s="2">
        <v>2</v>
      </c>
      <c r="I38" s="2">
        <f t="shared" ref="I38:I45" si="4">E38*F38*G38*H38/304.8/304.8/304.8</f>
        <v>2.2382469670159519</v>
      </c>
      <c r="J38" s="2">
        <f>I46*10%</f>
        <v>0.57901674067874964</v>
      </c>
      <c r="K38" s="2">
        <v>925</v>
      </c>
      <c r="L38" s="2">
        <v>190</v>
      </c>
      <c r="M38" s="6">
        <v>20</v>
      </c>
      <c r="N38" s="6">
        <v>50</v>
      </c>
      <c r="O38" s="6">
        <v>50</v>
      </c>
      <c r="P38" s="6">
        <v>30</v>
      </c>
      <c r="Q38" s="6"/>
      <c r="R38" s="7">
        <v>0.2</v>
      </c>
      <c r="S38" s="6"/>
    </row>
    <row r="39" spans="1:19" x14ac:dyDescent="0.35">
      <c r="A39" s="2">
        <v>2</v>
      </c>
      <c r="B39" s="2" t="s">
        <v>22</v>
      </c>
      <c r="C39" s="2" t="s">
        <v>21</v>
      </c>
      <c r="D39" s="2" t="s">
        <v>3</v>
      </c>
      <c r="E39" s="2">
        <v>2132</v>
      </c>
      <c r="F39" s="2">
        <v>609.6</v>
      </c>
      <c r="G39" s="2">
        <v>16</v>
      </c>
      <c r="H39" s="2">
        <v>2</v>
      </c>
      <c r="I39" s="2">
        <f t="shared" si="4"/>
        <v>1.4687140485392081</v>
      </c>
      <c r="J39" s="2"/>
      <c r="K39" s="2"/>
      <c r="L39" s="2"/>
      <c r="M39" s="6"/>
      <c r="N39" s="6"/>
      <c r="O39" s="6"/>
      <c r="P39" s="6"/>
      <c r="Q39" s="6"/>
      <c r="R39" s="6"/>
      <c r="S39" s="6"/>
    </row>
    <row r="40" spans="1:19" x14ac:dyDescent="0.35">
      <c r="A40" s="2">
        <v>3</v>
      </c>
      <c r="B40" s="2" t="s">
        <v>22</v>
      </c>
      <c r="C40" s="2" t="s">
        <v>21</v>
      </c>
      <c r="D40" s="2" t="s">
        <v>4</v>
      </c>
      <c r="E40" s="2">
        <v>889</v>
      </c>
      <c r="F40" s="2">
        <v>609.6</v>
      </c>
      <c r="G40" s="2">
        <v>16</v>
      </c>
      <c r="H40" s="2">
        <v>2</v>
      </c>
      <c r="I40" s="2">
        <f t="shared" si="4"/>
        <v>0.61242344706911633</v>
      </c>
      <c r="J40" s="2"/>
      <c r="K40" s="2"/>
      <c r="L40" s="2"/>
      <c r="M40" s="6"/>
      <c r="N40" s="6"/>
      <c r="O40" s="6"/>
      <c r="P40" s="6"/>
      <c r="Q40" s="6"/>
      <c r="R40" s="6"/>
      <c r="S40" s="6"/>
    </row>
    <row r="41" spans="1:19" x14ac:dyDescent="0.35">
      <c r="A41" s="2">
        <v>4</v>
      </c>
      <c r="B41" s="2" t="s">
        <v>22</v>
      </c>
      <c r="C41" s="2" t="s">
        <v>21</v>
      </c>
      <c r="D41" s="2" t="s">
        <v>19</v>
      </c>
      <c r="E41" s="2">
        <v>929</v>
      </c>
      <c r="F41" s="2">
        <v>75</v>
      </c>
      <c r="G41" s="2">
        <v>19</v>
      </c>
      <c r="H41" s="2">
        <v>3</v>
      </c>
      <c r="I41" s="2">
        <f t="shared" si="4"/>
        <v>0.14025131601772386</v>
      </c>
      <c r="J41" s="2"/>
      <c r="K41" s="2"/>
      <c r="L41" s="2"/>
      <c r="M41" s="6"/>
      <c r="N41" s="6"/>
      <c r="O41" s="6"/>
      <c r="P41" s="6"/>
      <c r="Q41" s="6"/>
      <c r="R41" s="6"/>
      <c r="S41" s="6"/>
    </row>
    <row r="42" spans="1:19" x14ac:dyDescent="0.35">
      <c r="A42" s="2">
        <v>5</v>
      </c>
      <c r="B42" s="2" t="s">
        <v>22</v>
      </c>
      <c r="C42" s="2" t="s">
        <v>21</v>
      </c>
      <c r="D42" s="2" t="s">
        <v>20</v>
      </c>
      <c r="E42" s="2">
        <v>929</v>
      </c>
      <c r="F42" s="2">
        <v>100</v>
      </c>
      <c r="G42" s="2">
        <v>75</v>
      </c>
      <c r="H42" s="2">
        <v>3</v>
      </c>
      <c r="I42" s="2">
        <f t="shared" si="4"/>
        <v>0.73816482114591508</v>
      </c>
      <c r="J42" s="2"/>
      <c r="K42" s="2"/>
      <c r="L42" s="2"/>
      <c r="M42" s="6"/>
      <c r="N42" s="6"/>
      <c r="O42" s="6"/>
      <c r="P42" s="6"/>
      <c r="Q42" s="6"/>
      <c r="R42" s="6"/>
      <c r="S42" s="6"/>
    </row>
    <row r="43" spans="1:19" x14ac:dyDescent="0.35">
      <c r="A43" s="2">
        <v>6</v>
      </c>
      <c r="B43" s="2" t="s">
        <v>22</v>
      </c>
      <c r="C43" s="2" t="s">
        <v>21</v>
      </c>
      <c r="D43" s="2" t="s">
        <v>5</v>
      </c>
      <c r="E43" s="2">
        <v>759.6</v>
      </c>
      <c r="F43" s="2">
        <v>75</v>
      </c>
      <c r="G43" s="2">
        <v>19</v>
      </c>
      <c r="H43" s="2">
        <v>6</v>
      </c>
      <c r="I43" s="2">
        <f t="shared" ref="I43:I44" si="5">E43*F43*G43*H43/304.8/304.8/304.8</f>
        <v>0.22935392819604533</v>
      </c>
      <c r="J43" s="2"/>
      <c r="K43" s="2"/>
      <c r="L43" s="2"/>
      <c r="M43" s="6"/>
      <c r="N43" s="6"/>
      <c r="O43" s="6"/>
      <c r="P43" s="6"/>
      <c r="Q43" s="6"/>
      <c r="R43" s="6"/>
      <c r="S43" s="6"/>
    </row>
    <row r="44" spans="1:19" x14ac:dyDescent="0.35">
      <c r="A44" s="2">
        <v>7</v>
      </c>
      <c r="B44" s="2" t="s">
        <v>22</v>
      </c>
      <c r="C44" s="2" t="s">
        <v>21</v>
      </c>
      <c r="D44" s="2" t="s">
        <v>47</v>
      </c>
      <c r="E44" s="2">
        <v>609.6</v>
      </c>
      <c r="F44" s="2">
        <v>75</v>
      </c>
      <c r="G44" s="2">
        <v>19</v>
      </c>
      <c r="H44" s="2">
        <v>6</v>
      </c>
      <c r="I44" s="2">
        <f t="shared" si="5"/>
        <v>0.18406286812573625</v>
      </c>
      <c r="J44" s="2"/>
      <c r="K44" s="2"/>
      <c r="L44" s="2"/>
      <c r="M44" s="6"/>
      <c r="N44" s="6"/>
      <c r="O44" s="6"/>
      <c r="P44" s="6"/>
      <c r="Q44" s="6"/>
      <c r="R44" s="6"/>
      <c r="S44" s="6"/>
    </row>
    <row r="45" spans="1:19" x14ac:dyDescent="0.35">
      <c r="A45" s="2">
        <v>8</v>
      </c>
      <c r="B45" s="2" t="s">
        <v>22</v>
      </c>
      <c r="C45" s="2" t="s">
        <v>21</v>
      </c>
      <c r="D45" s="2" t="s">
        <v>48</v>
      </c>
      <c r="E45" s="2">
        <v>889</v>
      </c>
      <c r="F45" s="2">
        <v>75</v>
      </c>
      <c r="G45" s="2">
        <v>19</v>
      </c>
      <c r="H45" s="2">
        <v>4</v>
      </c>
      <c r="I45" s="2">
        <f t="shared" si="4"/>
        <v>0.17895001067779912</v>
      </c>
      <c r="J45" s="2"/>
      <c r="K45" s="2"/>
      <c r="L45" s="2"/>
      <c r="M45" s="6"/>
      <c r="N45" s="6"/>
      <c r="O45" s="6"/>
      <c r="P45" s="6"/>
      <c r="Q45" s="6"/>
      <c r="R45" s="6"/>
      <c r="S45" s="6"/>
    </row>
    <row r="46" spans="1:19" ht="15.5" x14ac:dyDescent="0.35">
      <c r="A46" s="3"/>
      <c r="B46" s="3"/>
      <c r="C46" s="3"/>
      <c r="D46" s="3"/>
      <c r="E46" s="3"/>
      <c r="F46" s="3"/>
      <c r="G46" s="3"/>
      <c r="H46" s="3"/>
      <c r="I46" s="4">
        <f>SUM(I38:I45)</f>
        <v>5.7901674067874964</v>
      </c>
      <c r="J46" s="4">
        <f>J38+I46</f>
        <v>6.3691841474662461</v>
      </c>
      <c r="K46" s="4">
        <f>J46*K38</f>
        <v>5891.4953364062776</v>
      </c>
      <c r="L46" s="4">
        <f>J46*L38</f>
        <v>1210.1449880185867</v>
      </c>
      <c r="M46" s="4">
        <f>J46*M38</f>
        <v>127.38368294932492</v>
      </c>
      <c r="N46" s="4">
        <f>J46*N38</f>
        <v>318.45920737331232</v>
      </c>
      <c r="O46" s="4">
        <f>J46*O38</f>
        <v>318.45920737331232</v>
      </c>
      <c r="P46" s="4">
        <f>J46*P38</f>
        <v>191.07552442398739</v>
      </c>
      <c r="Q46" s="4">
        <f>SUM(K46:P46)</f>
        <v>8057.0179465448</v>
      </c>
      <c r="R46" s="4">
        <f>Q46*R38</f>
        <v>1611.4035893089601</v>
      </c>
      <c r="S46" s="5">
        <f>Q46+R46</f>
        <v>9668.4215358537604</v>
      </c>
    </row>
  </sheetData>
  <mergeCells count="3">
    <mergeCell ref="H36:M36"/>
    <mergeCell ref="H4:M4"/>
    <mergeCell ref="H20:M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T46"/>
  <sheetViews>
    <sheetView topLeftCell="A41" workbookViewId="0">
      <selection activeCell="R39" sqref="R39"/>
    </sheetView>
  </sheetViews>
  <sheetFormatPr defaultRowHeight="14.5" x14ac:dyDescent="0.35"/>
  <cols>
    <col min="1" max="1" width="8.7265625" customWidth="1"/>
    <col min="2" max="2" width="10.54296875" customWidth="1"/>
    <col min="3" max="3" width="11.7265625" customWidth="1"/>
    <col min="6" max="6" width="11.1796875" customWidth="1"/>
    <col min="7" max="7" width="10.7265625" customWidth="1"/>
    <col min="8" max="8" width="9.7265625" customWidth="1"/>
    <col min="9" max="9" width="11.7265625" customWidth="1"/>
    <col min="10" max="10" width="10.453125" customWidth="1"/>
    <col min="11" max="11" width="10.7265625" customWidth="1"/>
    <col min="12" max="12" width="12.7265625" customWidth="1"/>
    <col min="13" max="13" width="11.1796875" customWidth="1"/>
    <col min="14" max="14" width="12.1796875" customWidth="1"/>
    <col min="15" max="15" width="17.453125" customWidth="1"/>
    <col min="16" max="16" width="10.26953125" customWidth="1"/>
    <col min="17" max="17" width="10.1796875" customWidth="1"/>
    <col min="18" max="18" width="11.453125" customWidth="1"/>
    <col min="19" max="19" width="12.7265625" customWidth="1"/>
  </cols>
  <sheetData>
    <row r="4" spans="1:20" ht="18.5" x14ac:dyDescent="0.45">
      <c r="A4" s="1"/>
      <c r="B4" s="1"/>
      <c r="C4" s="1"/>
      <c r="D4" s="1"/>
      <c r="E4" s="1"/>
      <c r="F4" s="1"/>
      <c r="G4" s="1"/>
      <c r="H4" s="18" t="s">
        <v>30</v>
      </c>
      <c r="I4" s="19"/>
      <c r="J4" s="19"/>
      <c r="K4" s="19"/>
      <c r="L4" s="19"/>
      <c r="M4" s="20"/>
      <c r="N4" s="1"/>
      <c r="O4" s="1"/>
      <c r="P4" s="1"/>
      <c r="Q4" s="1"/>
      <c r="R4" s="1"/>
      <c r="S4" s="1"/>
    </row>
    <row r="5" spans="1:20" ht="15.5" x14ac:dyDescent="0.35">
      <c r="A5" s="4" t="s">
        <v>7</v>
      </c>
      <c r="B5" s="4" t="s">
        <v>8</v>
      </c>
      <c r="C5" s="4" t="s">
        <v>9</v>
      </c>
      <c r="D5" s="4" t="s">
        <v>24</v>
      </c>
      <c r="E5" s="4" t="s">
        <v>10</v>
      </c>
      <c r="F5" s="4" t="s">
        <v>25</v>
      </c>
      <c r="G5" s="4" t="s">
        <v>26</v>
      </c>
      <c r="H5" s="4" t="s">
        <v>1</v>
      </c>
      <c r="I5" s="4" t="s">
        <v>11</v>
      </c>
      <c r="J5" s="4" t="s">
        <v>29</v>
      </c>
      <c r="K5" s="4" t="s">
        <v>12</v>
      </c>
      <c r="L5" s="4" t="s">
        <v>13</v>
      </c>
      <c r="M5" s="4" t="s">
        <v>14</v>
      </c>
      <c r="N5" s="4" t="s">
        <v>6</v>
      </c>
      <c r="O5" s="4" t="s">
        <v>15</v>
      </c>
      <c r="P5" s="4" t="s">
        <v>16</v>
      </c>
      <c r="Q5" s="4" t="s">
        <v>0</v>
      </c>
      <c r="R5" s="4" t="s">
        <v>17</v>
      </c>
      <c r="S5" s="4" t="s">
        <v>18</v>
      </c>
    </row>
    <row r="6" spans="1:20" x14ac:dyDescent="0.35">
      <c r="A6" s="2">
        <v>1</v>
      </c>
      <c r="B6" s="2" t="s">
        <v>22</v>
      </c>
      <c r="C6" s="2" t="s">
        <v>21</v>
      </c>
      <c r="D6" s="2" t="s">
        <v>2</v>
      </c>
      <c r="E6" s="2">
        <v>1065.2</v>
      </c>
      <c r="F6" s="2">
        <v>929</v>
      </c>
      <c r="G6" s="2">
        <v>16</v>
      </c>
      <c r="H6" s="2">
        <v>2</v>
      </c>
      <c r="I6" s="2">
        <f t="shared" ref="I6:I13" si="0">E6*F6*G6*H6/304.8/304.8/304.8</f>
        <v>1.1182836159781391</v>
      </c>
      <c r="J6" s="2">
        <f>I14*10%</f>
        <v>0.4323664600230922</v>
      </c>
      <c r="K6" s="2">
        <v>925</v>
      </c>
      <c r="L6" s="2">
        <v>190</v>
      </c>
      <c r="M6" s="6">
        <v>20</v>
      </c>
      <c r="N6" s="6">
        <v>50</v>
      </c>
      <c r="O6" s="6">
        <v>50</v>
      </c>
      <c r="P6" s="6">
        <v>30</v>
      </c>
      <c r="Q6" s="6"/>
      <c r="R6" s="7">
        <v>0.2</v>
      </c>
      <c r="S6" s="6"/>
      <c r="T6" s="8"/>
    </row>
    <row r="7" spans="1:20" x14ac:dyDescent="0.35">
      <c r="A7" s="2">
        <v>2</v>
      </c>
      <c r="B7" s="2" t="s">
        <v>22</v>
      </c>
      <c r="C7" s="2" t="s">
        <v>21</v>
      </c>
      <c r="D7" s="2" t="s">
        <v>3</v>
      </c>
      <c r="E7" s="2">
        <v>1065.2</v>
      </c>
      <c r="F7" s="2">
        <v>889</v>
      </c>
      <c r="G7" s="2">
        <v>16</v>
      </c>
      <c r="H7" s="2">
        <v>2</v>
      </c>
      <c r="I7" s="2">
        <f t="shared" si="0"/>
        <v>1.070133621748725</v>
      </c>
      <c r="J7" s="2"/>
      <c r="K7" s="2"/>
      <c r="L7" s="2"/>
      <c r="M7" s="6"/>
      <c r="N7" s="6"/>
      <c r="O7" s="6"/>
      <c r="P7" s="6"/>
      <c r="Q7" s="6"/>
      <c r="R7" s="6"/>
      <c r="S7" s="6"/>
    </row>
    <row r="8" spans="1:20" x14ac:dyDescent="0.35">
      <c r="A8" s="2">
        <v>3</v>
      </c>
      <c r="B8" s="2" t="s">
        <v>22</v>
      </c>
      <c r="C8" s="2" t="s">
        <v>21</v>
      </c>
      <c r="D8" s="2" t="s">
        <v>4</v>
      </c>
      <c r="E8" s="2">
        <v>889</v>
      </c>
      <c r="F8" s="2">
        <v>889</v>
      </c>
      <c r="G8" s="2">
        <v>16</v>
      </c>
      <c r="H8" s="2">
        <v>2</v>
      </c>
      <c r="I8" s="2">
        <f t="shared" si="0"/>
        <v>0.8931175269757945</v>
      </c>
      <c r="J8" s="2"/>
      <c r="K8" s="2"/>
      <c r="L8" s="2"/>
      <c r="M8" s="6"/>
      <c r="N8" s="6"/>
      <c r="O8" s="6"/>
      <c r="P8" s="6"/>
      <c r="Q8" s="6"/>
      <c r="R8" s="6"/>
      <c r="S8" s="6"/>
    </row>
    <row r="9" spans="1:20" x14ac:dyDescent="0.35">
      <c r="A9" s="2">
        <v>4</v>
      </c>
      <c r="B9" s="2" t="s">
        <v>22</v>
      </c>
      <c r="C9" s="2" t="s">
        <v>21</v>
      </c>
      <c r="D9" s="2" t="s">
        <v>19</v>
      </c>
      <c r="E9" s="2">
        <v>929</v>
      </c>
      <c r="F9" s="2">
        <v>75</v>
      </c>
      <c r="G9" s="2">
        <v>19</v>
      </c>
      <c r="H9" s="2">
        <v>2</v>
      </c>
      <c r="I9" s="2">
        <f t="shared" si="0"/>
        <v>9.3500877345149253E-2</v>
      </c>
      <c r="J9" s="2"/>
      <c r="K9" s="2"/>
      <c r="L9" s="2"/>
      <c r="M9" s="6"/>
      <c r="N9" s="6"/>
      <c r="O9" s="6"/>
      <c r="P9" s="6"/>
      <c r="Q9" s="6"/>
      <c r="R9" s="6"/>
      <c r="S9" s="6"/>
    </row>
    <row r="10" spans="1:20" x14ac:dyDescent="0.35">
      <c r="A10" s="2">
        <v>5</v>
      </c>
      <c r="B10" s="2" t="s">
        <v>22</v>
      </c>
      <c r="C10" s="2" t="s">
        <v>21</v>
      </c>
      <c r="D10" s="2" t="s">
        <v>20</v>
      </c>
      <c r="E10" s="2">
        <v>929</v>
      </c>
      <c r="F10" s="2">
        <v>100</v>
      </c>
      <c r="G10" s="2">
        <v>75</v>
      </c>
      <c r="H10" s="2">
        <v>2</v>
      </c>
      <c r="I10" s="2">
        <f t="shared" si="0"/>
        <v>0.49210988076394346</v>
      </c>
      <c r="J10" s="2"/>
      <c r="K10" s="2"/>
      <c r="L10" s="2"/>
      <c r="M10" s="6"/>
      <c r="N10" s="6"/>
      <c r="O10" s="6"/>
      <c r="P10" s="6"/>
      <c r="Q10" s="6"/>
      <c r="R10" s="6"/>
      <c r="S10" s="6"/>
    </row>
    <row r="11" spans="1:20" x14ac:dyDescent="0.35">
      <c r="A11" s="2">
        <v>6</v>
      </c>
      <c r="B11" s="2" t="s">
        <v>22</v>
      </c>
      <c r="C11" s="2" t="s">
        <v>21</v>
      </c>
      <c r="D11" s="2" t="s">
        <v>5</v>
      </c>
      <c r="E11" s="2">
        <v>1039</v>
      </c>
      <c r="F11" s="2">
        <v>75</v>
      </c>
      <c r="G11" s="2">
        <v>19</v>
      </c>
      <c r="H11" s="2">
        <v>4</v>
      </c>
      <c r="I11" s="2">
        <f t="shared" ref="I11:I12" si="1">E11*F11*G11*H11/304.8/304.8/304.8</f>
        <v>0.20914405072467185</v>
      </c>
      <c r="J11" s="2"/>
      <c r="K11" s="2"/>
      <c r="L11" s="2"/>
      <c r="M11" s="6"/>
      <c r="N11" s="6"/>
      <c r="O11" s="6"/>
      <c r="P11" s="6"/>
      <c r="Q11" s="6"/>
      <c r="R11" s="6"/>
      <c r="S11" s="6"/>
    </row>
    <row r="12" spans="1:20" x14ac:dyDescent="0.35">
      <c r="A12" s="2">
        <v>7</v>
      </c>
      <c r="B12" s="2" t="s">
        <v>22</v>
      </c>
      <c r="C12" s="2" t="s">
        <v>21</v>
      </c>
      <c r="D12" s="2" t="s">
        <v>47</v>
      </c>
      <c r="E12" s="2">
        <v>889</v>
      </c>
      <c r="F12" s="2">
        <v>75</v>
      </c>
      <c r="G12" s="2">
        <v>19</v>
      </c>
      <c r="H12" s="2">
        <v>6</v>
      </c>
      <c r="I12" s="2">
        <f t="shared" si="1"/>
        <v>0.26842501601669871</v>
      </c>
      <c r="J12" s="2"/>
      <c r="K12" s="2"/>
      <c r="L12" s="2"/>
      <c r="M12" s="6"/>
      <c r="N12" s="6"/>
      <c r="O12" s="6"/>
      <c r="P12" s="6"/>
      <c r="Q12" s="6"/>
      <c r="R12" s="6"/>
      <c r="S12" s="6"/>
    </row>
    <row r="13" spans="1:20" x14ac:dyDescent="0.35">
      <c r="A13" s="2">
        <v>8</v>
      </c>
      <c r="B13" s="2" t="s">
        <v>22</v>
      </c>
      <c r="C13" s="2" t="s">
        <v>21</v>
      </c>
      <c r="D13" s="2" t="s">
        <v>48</v>
      </c>
      <c r="E13" s="2">
        <v>889</v>
      </c>
      <c r="F13" s="2">
        <v>75</v>
      </c>
      <c r="G13" s="2">
        <v>19</v>
      </c>
      <c r="H13" s="2">
        <v>4</v>
      </c>
      <c r="I13" s="2">
        <f t="shared" si="0"/>
        <v>0.17895001067779912</v>
      </c>
      <c r="J13" s="2"/>
      <c r="K13" s="2"/>
      <c r="L13" s="2"/>
      <c r="M13" s="6"/>
      <c r="N13" s="6"/>
      <c r="O13" s="6"/>
      <c r="P13" s="6"/>
      <c r="Q13" s="6"/>
      <c r="R13" s="6"/>
      <c r="S13" s="6"/>
    </row>
    <row r="14" spans="1:20" ht="15.5" x14ac:dyDescent="0.35">
      <c r="A14" s="3"/>
      <c r="B14" s="3"/>
      <c r="C14" s="3"/>
      <c r="D14" s="3"/>
      <c r="E14" s="3"/>
      <c r="F14" s="3"/>
      <c r="G14" s="3"/>
      <c r="H14" s="3"/>
      <c r="I14" s="4">
        <f>SUM(I6:I13)</f>
        <v>4.3236646002309218</v>
      </c>
      <c r="J14" s="4">
        <f>J6+I14</f>
        <v>4.7560310602540143</v>
      </c>
      <c r="K14" s="4">
        <f>J14*K6</f>
        <v>4399.3287307349628</v>
      </c>
      <c r="L14" s="4">
        <f>J14*L6</f>
        <v>903.64590144826275</v>
      </c>
      <c r="M14" s="4">
        <f>J14*M6</f>
        <v>95.120621205080283</v>
      </c>
      <c r="N14" s="4">
        <f>J14*N6</f>
        <v>237.80155301270071</v>
      </c>
      <c r="O14" s="4">
        <f>J14*O6</f>
        <v>237.80155301270071</v>
      </c>
      <c r="P14" s="4">
        <f>J14*P6</f>
        <v>142.68093180762042</v>
      </c>
      <c r="Q14" s="4">
        <f>SUM(K14:P14)</f>
        <v>6016.3792912213266</v>
      </c>
      <c r="R14" s="4">
        <f>Q14*R6</f>
        <v>1203.2758582442655</v>
      </c>
      <c r="S14" s="5">
        <f>Q14+R14</f>
        <v>7219.6551494655923</v>
      </c>
    </row>
    <row r="19" spans="1:19" ht="18.5" x14ac:dyDescent="0.45">
      <c r="A19" s="1"/>
      <c r="B19" s="1"/>
      <c r="C19" s="1"/>
      <c r="D19" s="1"/>
      <c r="E19" s="1"/>
      <c r="F19" s="1"/>
      <c r="G19" s="1"/>
      <c r="H19" s="18" t="s">
        <v>27</v>
      </c>
      <c r="I19" s="19"/>
      <c r="J19" s="19"/>
      <c r="K19" s="19"/>
      <c r="L19" s="19"/>
      <c r="M19" s="20"/>
      <c r="N19" s="1"/>
      <c r="O19" s="1"/>
      <c r="P19" s="1"/>
      <c r="Q19" s="1"/>
      <c r="R19" s="1"/>
      <c r="S19" s="1"/>
    </row>
    <row r="20" spans="1:19" ht="15.5" x14ac:dyDescent="0.35">
      <c r="A20" s="4" t="s">
        <v>7</v>
      </c>
      <c r="B20" s="4" t="s">
        <v>8</v>
      </c>
      <c r="C20" s="4" t="s">
        <v>9</v>
      </c>
      <c r="D20" s="4" t="s">
        <v>24</v>
      </c>
      <c r="E20" s="4" t="s">
        <v>10</v>
      </c>
      <c r="F20" s="4" t="s">
        <v>25</v>
      </c>
      <c r="G20" s="4" t="s">
        <v>26</v>
      </c>
      <c r="H20" s="4" t="s">
        <v>1</v>
      </c>
      <c r="I20" s="4" t="s">
        <v>11</v>
      </c>
      <c r="J20" s="4" t="s">
        <v>29</v>
      </c>
      <c r="K20" s="4" t="s">
        <v>12</v>
      </c>
      <c r="L20" s="4" t="s">
        <v>13</v>
      </c>
      <c r="M20" s="4" t="s">
        <v>14</v>
      </c>
      <c r="N20" s="4" t="s">
        <v>6</v>
      </c>
      <c r="O20" s="4" t="s">
        <v>15</v>
      </c>
      <c r="P20" s="4" t="s">
        <v>16</v>
      </c>
      <c r="Q20" s="4" t="s">
        <v>0</v>
      </c>
      <c r="R20" s="4" t="s">
        <v>17</v>
      </c>
      <c r="S20" s="4" t="s">
        <v>18</v>
      </c>
    </row>
    <row r="21" spans="1:19" x14ac:dyDescent="0.35">
      <c r="A21" s="2">
        <v>1</v>
      </c>
      <c r="B21" s="2" t="s">
        <v>22</v>
      </c>
      <c r="C21" s="2" t="s">
        <v>21</v>
      </c>
      <c r="D21" s="2" t="s">
        <v>2</v>
      </c>
      <c r="E21" s="2">
        <v>2132</v>
      </c>
      <c r="F21" s="2">
        <v>929</v>
      </c>
      <c r="G21" s="2">
        <v>16</v>
      </c>
      <c r="H21" s="2">
        <v>2</v>
      </c>
      <c r="I21" s="2">
        <f t="shared" ref="I21:I28" si="2">E21*F21*G21*H21/304.8/304.8/304.8</f>
        <v>2.2382469670159519</v>
      </c>
      <c r="J21" s="2">
        <f>I29*10%</f>
        <v>0.6912746388056572</v>
      </c>
      <c r="K21" s="2">
        <v>925</v>
      </c>
      <c r="L21" s="2">
        <v>190</v>
      </c>
      <c r="M21" s="6">
        <v>20</v>
      </c>
      <c r="N21" s="6">
        <v>50</v>
      </c>
      <c r="O21" s="6">
        <v>50</v>
      </c>
      <c r="P21" s="6">
        <v>30</v>
      </c>
      <c r="Q21" s="6"/>
      <c r="R21" s="7">
        <v>0.2</v>
      </c>
      <c r="S21" s="6"/>
    </row>
    <row r="22" spans="1:19" x14ac:dyDescent="0.35">
      <c r="A22" s="2">
        <v>2</v>
      </c>
      <c r="B22" s="2" t="s">
        <v>22</v>
      </c>
      <c r="C22" s="2" t="s">
        <v>21</v>
      </c>
      <c r="D22" s="2" t="s">
        <v>3</v>
      </c>
      <c r="E22" s="2">
        <v>2132</v>
      </c>
      <c r="F22" s="2">
        <v>889</v>
      </c>
      <c r="G22" s="2">
        <v>16</v>
      </c>
      <c r="H22" s="2">
        <v>2</v>
      </c>
      <c r="I22" s="2">
        <f t="shared" si="2"/>
        <v>2.1418746541196785</v>
      </c>
      <c r="J22" s="2"/>
      <c r="K22" s="2"/>
      <c r="L22" s="2"/>
      <c r="M22" s="6"/>
      <c r="N22" s="6"/>
      <c r="O22" s="6"/>
      <c r="P22" s="6"/>
      <c r="Q22" s="6"/>
      <c r="R22" s="6"/>
      <c r="S22" s="6"/>
    </row>
    <row r="23" spans="1:19" x14ac:dyDescent="0.35">
      <c r="A23" s="2">
        <v>3</v>
      </c>
      <c r="B23" s="2" t="s">
        <v>22</v>
      </c>
      <c r="C23" s="2" t="s">
        <v>21</v>
      </c>
      <c r="D23" s="2" t="s">
        <v>4</v>
      </c>
      <c r="E23" s="2">
        <v>889</v>
      </c>
      <c r="F23" s="2">
        <v>889</v>
      </c>
      <c r="G23" s="2">
        <v>16</v>
      </c>
      <c r="H23" s="2">
        <v>2</v>
      </c>
      <c r="I23" s="2">
        <f t="shared" si="2"/>
        <v>0.8931175269757945</v>
      </c>
      <c r="J23" s="2"/>
      <c r="K23" s="2"/>
      <c r="L23" s="2"/>
      <c r="M23" s="6"/>
      <c r="N23" s="6"/>
      <c r="O23" s="6"/>
      <c r="P23" s="6"/>
      <c r="Q23" s="6"/>
      <c r="R23" s="6"/>
      <c r="S23" s="6"/>
    </row>
    <row r="24" spans="1:19" x14ac:dyDescent="0.35">
      <c r="A24" s="2">
        <v>4</v>
      </c>
      <c r="B24" s="2" t="s">
        <v>22</v>
      </c>
      <c r="C24" s="2" t="s">
        <v>21</v>
      </c>
      <c r="D24" s="2" t="s">
        <v>19</v>
      </c>
      <c r="E24" s="2">
        <v>929</v>
      </c>
      <c r="F24" s="2">
        <v>75</v>
      </c>
      <c r="G24" s="2">
        <v>19</v>
      </c>
      <c r="H24" s="2">
        <v>3</v>
      </c>
      <c r="I24" s="2">
        <f t="shared" si="2"/>
        <v>0.14025131601772386</v>
      </c>
      <c r="J24" s="2"/>
      <c r="K24" s="2"/>
      <c r="L24" s="2"/>
      <c r="M24" s="6"/>
      <c r="N24" s="6"/>
      <c r="O24" s="6"/>
      <c r="P24" s="6"/>
      <c r="Q24" s="6"/>
      <c r="R24" s="6"/>
      <c r="S24" s="6"/>
    </row>
    <row r="25" spans="1:19" x14ac:dyDescent="0.35">
      <c r="A25" s="2">
        <v>5</v>
      </c>
      <c r="B25" s="2" t="s">
        <v>22</v>
      </c>
      <c r="C25" s="2" t="s">
        <v>21</v>
      </c>
      <c r="D25" s="2" t="s">
        <v>20</v>
      </c>
      <c r="E25" s="2">
        <v>929</v>
      </c>
      <c r="F25" s="2">
        <v>100</v>
      </c>
      <c r="G25" s="2">
        <v>75</v>
      </c>
      <c r="H25" s="2">
        <v>3</v>
      </c>
      <c r="I25" s="2">
        <f t="shared" si="2"/>
        <v>0.73816482114591508</v>
      </c>
      <c r="J25" s="2"/>
      <c r="K25" s="2"/>
      <c r="L25" s="2"/>
      <c r="M25" s="6"/>
      <c r="N25" s="6"/>
      <c r="O25" s="6"/>
      <c r="P25" s="6"/>
      <c r="Q25" s="6"/>
      <c r="R25" s="6"/>
      <c r="S25" s="6"/>
    </row>
    <row r="26" spans="1:19" x14ac:dyDescent="0.35">
      <c r="A26" s="2">
        <v>6</v>
      </c>
      <c r="B26" s="2" t="s">
        <v>22</v>
      </c>
      <c r="C26" s="2" t="s">
        <v>21</v>
      </c>
      <c r="D26" s="2" t="s">
        <v>5</v>
      </c>
      <c r="E26" s="2">
        <v>1039</v>
      </c>
      <c r="F26" s="2">
        <v>75</v>
      </c>
      <c r="G26" s="2">
        <v>19</v>
      </c>
      <c r="H26" s="2">
        <v>6</v>
      </c>
      <c r="I26" s="2">
        <f t="shared" ref="I26:I27" si="3">E26*F26*G26*H26/304.8/304.8/304.8</f>
        <v>0.31371607608700774</v>
      </c>
      <c r="J26" s="2"/>
      <c r="K26" s="2"/>
      <c r="L26" s="2"/>
      <c r="M26" s="6"/>
      <c r="N26" s="6"/>
      <c r="O26" s="6"/>
      <c r="P26" s="6"/>
      <c r="Q26" s="6"/>
      <c r="R26" s="6"/>
      <c r="S26" s="6"/>
    </row>
    <row r="27" spans="1:19" x14ac:dyDescent="0.35">
      <c r="A27" s="2">
        <v>7</v>
      </c>
      <c r="B27" s="2" t="s">
        <v>22</v>
      </c>
      <c r="C27" s="2" t="s">
        <v>21</v>
      </c>
      <c r="D27" s="2" t="s">
        <v>47</v>
      </c>
      <c r="E27" s="2">
        <v>889</v>
      </c>
      <c r="F27" s="2">
        <v>75</v>
      </c>
      <c r="G27" s="2">
        <v>19</v>
      </c>
      <c r="H27" s="2">
        <v>6</v>
      </c>
      <c r="I27" s="2">
        <f t="shared" si="3"/>
        <v>0.26842501601669871</v>
      </c>
      <c r="J27" s="2"/>
      <c r="K27" s="2"/>
      <c r="L27" s="2"/>
      <c r="M27" s="6"/>
      <c r="N27" s="6"/>
      <c r="O27" s="6"/>
      <c r="P27" s="6"/>
      <c r="Q27" s="6"/>
      <c r="R27" s="6"/>
      <c r="S27" s="6"/>
    </row>
    <row r="28" spans="1:19" x14ac:dyDescent="0.35">
      <c r="A28" s="2">
        <v>8</v>
      </c>
      <c r="B28" s="2" t="s">
        <v>22</v>
      </c>
      <c r="C28" s="2" t="s">
        <v>21</v>
      </c>
      <c r="D28" s="2" t="s">
        <v>48</v>
      </c>
      <c r="E28" s="2">
        <v>889</v>
      </c>
      <c r="F28" s="2">
        <v>75</v>
      </c>
      <c r="G28" s="2">
        <v>19</v>
      </c>
      <c r="H28" s="2">
        <v>4</v>
      </c>
      <c r="I28" s="2">
        <f t="shared" si="2"/>
        <v>0.17895001067779912</v>
      </c>
      <c r="J28" s="2"/>
      <c r="K28" s="2"/>
      <c r="L28" s="2"/>
      <c r="M28" s="6"/>
      <c r="N28" s="6"/>
      <c r="O28" s="6"/>
      <c r="P28" s="6"/>
      <c r="Q28" s="6"/>
      <c r="R28" s="6"/>
      <c r="S28" s="6"/>
    </row>
    <row r="29" spans="1:19" ht="15.5" x14ac:dyDescent="0.35">
      <c r="A29" s="3"/>
      <c r="B29" s="3"/>
      <c r="C29" s="3"/>
      <c r="D29" s="3"/>
      <c r="E29" s="3"/>
      <c r="F29" s="3"/>
      <c r="G29" s="3"/>
      <c r="H29" s="3"/>
      <c r="I29" s="4">
        <f>SUM(I21:I28)</f>
        <v>6.9127463880565712</v>
      </c>
      <c r="J29" s="4">
        <f>J21+I29</f>
        <v>7.6040210268622284</v>
      </c>
      <c r="K29" s="4">
        <f>J29*K21</f>
        <v>7033.719449847561</v>
      </c>
      <c r="L29" s="4">
        <f>J29*L21</f>
        <v>1444.7639951038234</v>
      </c>
      <c r="M29" s="4">
        <f>J29*M21</f>
        <v>152.08042053724458</v>
      </c>
      <c r="N29" s="4">
        <f>J29*N21</f>
        <v>380.20105134311143</v>
      </c>
      <c r="O29" s="4">
        <f>J29*O21</f>
        <v>380.20105134311143</v>
      </c>
      <c r="P29" s="4">
        <f>J29*P21</f>
        <v>228.12063080586685</v>
      </c>
      <c r="Q29" s="4">
        <f>SUM(K29:P29)</f>
        <v>9619.0865989807189</v>
      </c>
      <c r="R29" s="4">
        <f>Q29*R21</f>
        <v>1923.8173197961439</v>
      </c>
      <c r="S29" s="5">
        <f>Q29+R29</f>
        <v>11542.903918776863</v>
      </c>
    </row>
    <row r="36" spans="1:19" ht="18.5" x14ac:dyDescent="0.45">
      <c r="A36" s="1"/>
      <c r="B36" s="1"/>
      <c r="C36" s="1"/>
      <c r="D36" s="1"/>
      <c r="E36" s="1"/>
      <c r="F36" s="1"/>
      <c r="G36" s="1"/>
      <c r="H36" s="18" t="s">
        <v>28</v>
      </c>
      <c r="I36" s="19"/>
      <c r="J36" s="19"/>
      <c r="K36" s="19"/>
      <c r="L36" s="19"/>
      <c r="M36" s="20"/>
      <c r="N36" s="1"/>
      <c r="O36" s="1"/>
      <c r="P36" s="1"/>
      <c r="Q36" s="1"/>
      <c r="R36" s="1"/>
      <c r="S36" s="1"/>
    </row>
    <row r="37" spans="1:19" ht="15.5" x14ac:dyDescent="0.35">
      <c r="A37" s="4" t="s">
        <v>7</v>
      </c>
      <c r="B37" s="4" t="s">
        <v>8</v>
      </c>
      <c r="C37" s="4" t="s">
        <v>9</v>
      </c>
      <c r="D37" s="4" t="s">
        <v>24</v>
      </c>
      <c r="E37" s="4" t="s">
        <v>10</v>
      </c>
      <c r="F37" s="4" t="s">
        <v>25</v>
      </c>
      <c r="G37" s="4" t="s">
        <v>26</v>
      </c>
      <c r="H37" s="4" t="s">
        <v>1</v>
      </c>
      <c r="I37" s="4" t="s">
        <v>11</v>
      </c>
      <c r="J37" s="4" t="s">
        <v>29</v>
      </c>
      <c r="K37" s="4" t="s">
        <v>12</v>
      </c>
      <c r="L37" s="4" t="s">
        <v>13</v>
      </c>
      <c r="M37" s="4" t="s">
        <v>14</v>
      </c>
      <c r="N37" s="4" t="s">
        <v>6</v>
      </c>
      <c r="O37" s="4" t="s">
        <v>15</v>
      </c>
      <c r="P37" s="4" t="s">
        <v>16</v>
      </c>
      <c r="Q37" s="4" t="s">
        <v>0</v>
      </c>
      <c r="R37" s="4" t="s">
        <v>17</v>
      </c>
      <c r="S37" s="4" t="s">
        <v>18</v>
      </c>
    </row>
    <row r="38" spans="1:19" x14ac:dyDescent="0.35">
      <c r="A38" s="2">
        <v>1</v>
      </c>
      <c r="B38" s="2" t="s">
        <v>22</v>
      </c>
      <c r="C38" s="2" t="s">
        <v>21</v>
      </c>
      <c r="D38" s="2" t="s">
        <v>2</v>
      </c>
      <c r="E38" s="2">
        <v>2132</v>
      </c>
      <c r="F38" s="2">
        <v>929</v>
      </c>
      <c r="G38" s="2">
        <v>16</v>
      </c>
      <c r="H38" s="2">
        <v>2</v>
      </c>
      <c r="I38" s="2">
        <f t="shared" ref="I38:I45" si="4">E38*F38*G38*H38/304.8/304.8/304.8</f>
        <v>2.2382469670159519</v>
      </c>
      <c r="J38" s="2">
        <f>I46*10%</f>
        <v>0.57901674067874964</v>
      </c>
      <c r="K38" s="2">
        <v>925</v>
      </c>
      <c r="L38" s="2">
        <v>190</v>
      </c>
      <c r="M38" s="6">
        <v>20</v>
      </c>
      <c r="N38" s="6">
        <v>50</v>
      </c>
      <c r="O38" s="6">
        <v>50</v>
      </c>
      <c r="P38" s="6">
        <v>30</v>
      </c>
      <c r="Q38" s="6"/>
      <c r="R38" s="7">
        <v>0.2</v>
      </c>
      <c r="S38" s="6"/>
    </row>
    <row r="39" spans="1:19" x14ac:dyDescent="0.35">
      <c r="A39" s="2">
        <v>2</v>
      </c>
      <c r="B39" s="2" t="s">
        <v>22</v>
      </c>
      <c r="C39" s="2" t="s">
        <v>21</v>
      </c>
      <c r="D39" s="2" t="s">
        <v>3</v>
      </c>
      <c r="E39" s="2">
        <v>2132</v>
      </c>
      <c r="F39" s="2">
        <v>609.6</v>
      </c>
      <c r="G39" s="2">
        <v>16</v>
      </c>
      <c r="H39" s="2">
        <v>2</v>
      </c>
      <c r="I39" s="2">
        <f t="shared" si="4"/>
        <v>1.4687140485392081</v>
      </c>
      <c r="J39" s="2"/>
      <c r="K39" s="2"/>
      <c r="L39" s="2"/>
      <c r="M39" s="6"/>
      <c r="N39" s="6"/>
      <c r="O39" s="6"/>
      <c r="P39" s="6"/>
      <c r="Q39" s="6"/>
      <c r="R39" s="6"/>
      <c r="S39" s="6"/>
    </row>
    <row r="40" spans="1:19" x14ac:dyDescent="0.35">
      <c r="A40" s="2">
        <v>3</v>
      </c>
      <c r="B40" s="2" t="s">
        <v>22</v>
      </c>
      <c r="C40" s="2" t="s">
        <v>21</v>
      </c>
      <c r="D40" s="2" t="s">
        <v>4</v>
      </c>
      <c r="E40" s="2">
        <v>889</v>
      </c>
      <c r="F40" s="2">
        <v>609.6</v>
      </c>
      <c r="G40" s="2">
        <v>16</v>
      </c>
      <c r="H40" s="2">
        <v>2</v>
      </c>
      <c r="I40" s="2">
        <f t="shared" si="4"/>
        <v>0.61242344706911633</v>
      </c>
      <c r="J40" s="2"/>
      <c r="K40" s="2"/>
      <c r="L40" s="2"/>
      <c r="M40" s="6"/>
      <c r="N40" s="6"/>
      <c r="O40" s="6"/>
      <c r="P40" s="6"/>
      <c r="Q40" s="6"/>
      <c r="R40" s="6"/>
      <c r="S40" s="6"/>
    </row>
    <row r="41" spans="1:19" x14ac:dyDescent="0.35">
      <c r="A41" s="2">
        <v>4</v>
      </c>
      <c r="B41" s="2" t="s">
        <v>22</v>
      </c>
      <c r="C41" s="2" t="s">
        <v>21</v>
      </c>
      <c r="D41" s="2" t="s">
        <v>19</v>
      </c>
      <c r="E41" s="2">
        <v>929</v>
      </c>
      <c r="F41" s="2">
        <v>75</v>
      </c>
      <c r="G41" s="2">
        <v>19</v>
      </c>
      <c r="H41" s="2">
        <v>3</v>
      </c>
      <c r="I41" s="2">
        <f t="shared" si="4"/>
        <v>0.14025131601772386</v>
      </c>
      <c r="J41" s="2"/>
      <c r="K41" s="2"/>
      <c r="L41" s="2"/>
      <c r="M41" s="6"/>
      <c r="N41" s="6"/>
      <c r="O41" s="6"/>
      <c r="P41" s="6"/>
      <c r="Q41" s="6"/>
      <c r="R41" s="6"/>
      <c r="S41" s="6"/>
    </row>
    <row r="42" spans="1:19" x14ac:dyDescent="0.35">
      <c r="A42" s="2">
        <v>5</v>
      </c>
      <c r="B42" s="2" t="s">
        <v>22</v>
      </c>
      <c r="C42" s="2" t="s">
        <v>21</v>
      </c>
      <c r="D42" s="2" t="s">
        <v>20</v>
      </c>
      <c r="E42" s="2">
        <v>929</v>
      </c>
      <c r="F42" s="2">
        <v>100</v>
      </c>
      <c r="G42" s="2">
        <v>75</v>
      </c>
      <c r="H42" s="2">
        <v>3</v>
      </c>
      <c r="I42" s="2">
        <f t="shared" si="4"/>
        <v>0.73816482114591508</v>
      </c>
      <c r="J42" s="2"/>
      <c r="K42" s="2"/>
      <c r="L42" s="2"/>
      <c r="M42" s="6"/>
      <c r="N42" s="6"/>
      <c r="O42" s="6"/>
      <c r="P42" s="6"/>
      <c r="Q42" s="6"/>
      <c r="R42" s="6"/>
      <c r="S42" s="6"/>
    </row>
    <row r="43" spans="1:19" x14ac:dyDescent="0.35">
      <c r="A43" s="2">
        <v>6</v>
      </c>
      <c r="B43" s="2" t="s">
        <v>22</v>
      </c>
      <c r="C43" s="2" t="s">
        <v>21</v>
      </c>
      <c r="D43" s="2" t="s">
        <v>5</v>
      </c>
      <c r="E43" s="2">
        <v>759.6</v>
      </c>
      <c r="F43" s="2">
        <v>75</v>
      </c>
      <c r="G43" s="2">
        <v>19</v>
      </c>
      <c r="H43" s="2">
        <v>6</v>
      </c>
      <c r="I43" s="2">
        <f t="shared" ref="I43:I44" si="5">E43*F43*G43*H43/304.8/304.8/304.8</f>
        <v>0.22935392819604533</v>
      </c>
      <c r="J43" s="2"/>
      <c r="K43" s="2"/>
      <c r="L43" s="2"/>
      <c r="M43" s="6"/>
      <c r="N43" s="6"/>
      <c r="O43" s="6"/>
      <c r="P43" s="6"/>
      <c r="Q43" s="6"/>
      <c r="R43" s="6"/>
      <c r="S43" s="6"/>
    </row>
    <row r="44" spans="1:19" x14ac:dyDescent="0.35">
      <c r="A44" s="2">
        <v>7</v>
      </c>
      <c r="B44" s="2" t="s">
        <v>22</v>
      </c>
      <c r="C44" s="2" t="s">
        <v>21</v>
      </c>
      <c r="D44" s="2" t="s">
        <v>47</v>
      </c>
      <c r="E44" s="2">
        <v>609.6</v>
      </c>
      <c r="F44" s="2">
        <v>75</v>
      </c>
      <c r="G44" s="2">
        <v>19</v>
      </c>
      <c r="H44" s="2">
        <v>6</v>
      </c>
      <c r="I44" s="2">
        <f t="shared" si="5"/>
        <v>0.18406286812573625</v>
      </c>
      <c r="J44" s="2"/>
      <c r="K44" s="2"/>
      <c r="L44" s="2"/>
      <c r="M44" s="6"/>
      <c r="N44" s="6"/>
      <c r="O44" s="6"/>
      <c r="P44" s="6"/>
      <c r="Q44" s="6"/>
      <c r="R44" s="6"/>
      <c r="S44" s="6"/>
    </row>
    <row r="45" spans="1:19" x14ac:dyDescent="0.35">
      <c r="A45" s="2">
        <v>8</v>
      </c>
      <c r="B45" s="2" t="s">
        <v>22</v>
      </c>
      <c r="C45" s="2" t="s">
        <v>21</v>
      </c>
      <c r="D45" s="2" t="s">
        <v>48</v>
      </c>
      <c r="E45" s="2">
        <v>889</v>
      </c>
      <c r="F45" s="2">
        <v>75</v>
      </c>
      <c r="G45" s="2">
        <v>19</v>
      </c>
      <c r="H45" s="2">
        <v>4</v>
      </c>
      <c r="I45" s="2">
        <f t="shared" si="4"/>
        <v>0.17895001067779912</v>
      </c>
      <c r="J45" s="2"/>
      <c r="K45" s="2"/>
      <c r="L45" s="2"/>
      <c r="M45" s="6"/>
      <c r="N45" s="6"/>
      <c r="O45" s="6"/>
      <c r="P45" s="6"/>
      <c r="Q45" s="6"/>
      <c r="R45" s="6"/>
      <c r="S45" s="6"/>
    </row>
    <row r="46" spans="1:19" ht="15.5" x14ac:dyDescent="0.35">
      <c r="A46" s="3"/>
      <c r="B46" s="3"/>
      <c r="C46" s="3"/>
      <c r="D46" s="3"/>
      <c r="E46" s="3"/>
      <c r="F46" s="3"/>
      <c r="G46" s="3"/>
      <c r="H46" s="3"/>
      <c r="I46" s="4">
        <f>SUM(I38:I45)</f>
        <v>5.7901674067874964</v>
      </c>
      <c r="J46" s="4">
        <f>J38+I46</f>
        <v>6.3691841474662461</v>
      </c>
      <c r="K46" s="4">
        <f>J46*K38</f>
        <v>5891.4953364062776</v>
      </c>
      <c r="L46" s="4">
        <f>J46*L38</f>
        <v>1210.1449880185867</v>
      </c>
      <c r="M46" s="4">
        <f>J46*M38</f>
        <v>127.38368294932492</v>
      </c>
      <c r="N46" s="4">
        <f>J46*N38</f>
        <v>318.45920737331232</v>
      </c>
      <c r="O46" s="4">
        <f>J46*O38</f>
        <v>318.45920737331232</v>
      </c>
      <c r="P46" s="4">
        <f>J46*P38</f>
        <v>191.07552442398739</v>
      </c>
      <c r="Q46" s="4">
        <f>SUM(K46:P46)</f>
        <v>8057.0179465448</v>
      </c>
      <c r="R46" s="4">
        <f>Q46*R38</f>
        <v>1611.4035893089601</v>
      </c>
      <c r="S46" s="5">
        <f>Q46+R46</f>
        <v>9668.4215358537604</v>
      </c>
    </row>
  </sheetData>
  <mergeCells count="3">
    <mergeCell ref="H4:M4"/>
    <mergeCell ref="H19:M19"/>
    <mergeCell ref="H36:M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284"/>
  <sheetViews>
    <sheetView topLeftCell="C251" zoomScale="85" zoomScaleNormal="85" workbookViewId="0">
      <selection activeCell="AA9" sqref="AA9"/>
    </sheetView>
  </sheetViews>
  <sheetFormatPr defaultRowHeight="14.5" x14ac:dyDescent="0.35"/>
  <cols>
    <col min="1" max="1" width="8.7265625" customWidth="1"/>
    <col min="2" max="2" width="10.54296875" customWidth="1"/>
    <col min="3" max="3" width="11.7265625" customWidth="1"/>
    <col min="6" max="6" width="11.1796875" customWidth="1"/>
    <col min="7" max="7" width="10.7265625" customWidth="1"/>
    <col min="8" max="8" width="9.7265625" customWidth="1"/>
    <col min="9" max="9" width="11.7265625" customWidth="1"/>
    <col min="10" max="10" width="10.453125" customWidth="1"/>
    <col min="11" max="11" width="10.7265625" customWidth="1"/>
    <col min="12" max="12" width="12.7265625" customWidth="1"/>
    <col min="13" max="13" width="11.1796875" customWidth="1"/>
    <col min="14" max="14" width="12.1796875" customWidth="1"/>
    <col min="15" max="15" width="17.453125" customWidth="1"/>
    <col min="16" max="16" width="10.26953125" customWidth="1"/>
    <col min="17" max="17" width="10.1796875" customWidth="1"/>
    <col min="18" max="18" width="12.81640625" customWidth="1"/>
    <col min="19" max="19" width="12.7265625" customWidth="1"/>
  </cols>
  <sheetData>
    <row r="2" spans="1:30" ht="15.5" x14ac:dyDescent="0.35">
      <c r="H2" s="10">
        <v>25.4</v>
      </c>
      <c r="I2" s="16">
        <v>38.5</v>
      </c>
      <c r="J2" s="16">
        <v>42.5</v>
      </c>
      <c r="K2" s="16">
        <v>41</v>
      </c>
    </row>
    <row r="3" spans="1:30" ht="15.5" x14ac:dyDescent="0.35">
      <c r="I3" s="14">
        <f>I2*$H$16</f>
        <v>977.9</v>
      </c>
      <c r="J3" s="14">
        <f>J2*$H$16</f>
        <v>1079.5</v>
      </c>
      <c r="K3" s="14">
        <f>K2*$H$16</f>
        <v>1041.3999999999999</v>
      </c>
      <c r="U3" s="15">
        <v>25.4</v>
      </c>
      <c r="V3" s="16">
        <f>V4*U3</f>
        <v>977.9</v>
      </c>
      <c r="W3" s="16">
        <f>W4*U3</f>
        <v>1079.5</v>
      </c>
      <c r="X3" s="16">
        <f>X4*U3</f>
        <v>1041.3999999999999</v>
      </c>
      <c r="Y3" s="15" t="s">
        <v>50</v>
      </c>
    </row>
    <row r="4" spans="1:30" ht="18.5" x14ac:dyDescent="0.45">
      <c r="A4" s="1">
        <v>1</v>
      </c>
      <c r="B4" s="1"/>
      <c r="C4" s="1"/>
      <c r="D4" s="1"/>
      <c r="E4" s="1"/>
      <c r="F4" s="1"/>
      <c r="G4" s="1"/>
      <c r="H4" s="18" t="s">
        <v>31</v>
      </c>
      <c r="I4" s="19"/>
      <c r="J4" s="19"/>
      <c r="K4" s="19"/>
      <c r="L4" s="19"/>
      <c r="M4" s="20"/>
      <c r="N4" s="1"/>
      <c r="O4" s="1"/>
      <c r="P4" s="1"/>
      <c r="Q4" s="1"/>
      <c r="R4" s="1"/>
      <c r="S4" s="1"/>
      <c r="U4" s="16" t="s">
        <v>24</v>
      </c>
      <c r="V4" s="16">
        <v>38.5</v>
      </c>
      <c r="W4" s="16">
        <v>42.5</v>
      </c>
      <c r="X4" s="16">
        <v>41</v>
      </c>
      <c r="Y4" s="16" t="s">
        <v>51</v>
      </c>
    </row>
    <row r="5" spans="1:30" ht="15.5" x14ac:dyDescent="0.35">
      <c r="A5" s="4" t="s">
        <v>7</v>
      </c>
      <c r="B5" s="4" t="s">
        <v>8</v>
      </c>
      <c r="C5" s="4" t="s">
        <v>9</v>
      </c>
      <c r="D5" s="4" t="s">
        <v>24</v>
      </c>
      <c r="E5" s="4" t="s">
        <v>10</v>
      </c>
      <c r="F5" s="4" t="s">
        <v>25</v>
      </c>
      <c r="G5" s="4" t="s">
        <v>26</v>
      </c>
      <c r="H5" s="4" t="s">
        <v>1</v>
      </c>
      <c r="I5" s="4" t="s">
        <v>11</v>
      </c>
      <c r="J5" s="4" t="s">
        <v>29</v>
      </c>
      <c r="K5" s="4" t="s">
        <v>12</v>
      </c>
      <c r="L5" s="4" t="s">
        <v>13</v>
      </c>
      <c r="M5" s="4" t="s">
        <v>14</v>
      </c>
      <c r="N5" s="4" t="s">
        <v>6</v>
      </c>
      <c r="O5" s="4" t="s">
        <v>15</v>
      </c>
      <c r="P5" s="4" t="s">
        <v>16</v>
      </c>
      <c r="Q5" s="4" t="s">
        <v>0</v>
      </c>
      <c r="R5" s="4" t="s">
        <v>17</v>
      </c>
      <c r="S5" s="4" t="s">
        <v>18</v>
      </c>
      <c r="U5" s="4" t="s">
        <v>24</v>
      </c>
      <c r="V5" s="4" t="s">
        <v>10</v>
      </c>
      <c r="W5" s="4" t="s">
        <v>25</v>
      </c>
      <c r="X5" s="4" t="s">
        <v>26</v>
      </c>
      <c r="Y5" s="4" t="s">
        <v>1</v>
      </c>
      <c r="Z5" s="4" t="s">
        <v>11</v>
      </c>
      <c r="AA5" s="4" t="s">
        <v>10</v>
      </c>
      <c r="AB5" s="4" t="s">
        <v>25</v>
      </c>
      <c r="AC5" s="4" t="s">
        <v>26</v>
      </c>
      <c r="AD5" s="4" t="s">
        <v>1</v>
      </c>
    </row>
    <row r="6" spans="1:30" x14ac:dyDescent="0.35">
      <c r="A6" s="2">
        <v>1</v>
      </c>
      <c r="B6" s="2" t="s">
        <v>22</v>
      </c>
      <c r="C6" s="2" t="s">
        <v>21</v>
      </c>
      <c r="D6" s="2" t="s">
        <v>2</v>
      </c>
      <c r="E6" s="2">
        <f>977+100</f>
        <v>1077</v>
      </c>
      <c r="F6" s="2">
        <v>1119.5</v>
      </c>
      <c r="G6" s="2">
        <v>16</v>
      </c>
      <c r="H6" s="2">
        <v>2</v>
      </c>
      <c r="I6" s="2">
        <f t="shared" ref="I6:I13" si="0">E6*F6*G6*H6/304.8/304.8/304.8</f>
        <v>1.3625262924191639</v>
      </c>
      <c r="J6" s="2">
        <f>I14*10%</f>
        <v>0.5392612438813752</v>
      </c>
      <c r="K6" s="2">
        <v>925</v>
      </c>
      <c r="L6" s="2">
        <v>190</v>
      </c>
      <c r="M6" s="6">
        <v>20</v>
      </c>
      <c r="N6" s="6">
        <v>50</v>
      </c>
      <c r="O6" s="6">
        <v>50</v>
      </c>
      <c r="P6" s="6">
        <v>30</v>
      </c>
      <c r="Q6" s="6"/>
      <c r="R6" s="7">
        <v>0.2</v>
      </c>
      <c r="S6" s="6"/>
      <c r="U6" s="2" t="s">
        <v>2</v>
      </c>
      <c r="V6" s="2">
        <f>977+100</f>
        <v>1077</v>
      </c>
      <c r="W6" s="2">
        <v>1119.5</v>
      </c>
      <c r="X6" s="2">
        <v>16</v>
      </c>
      <c r="Y6" s="2">
        <v>2</v>
      </c>
      <c r="Z6" s="2">
        <f t="shared" ref="Z6:Z13" si="1">V6*W6*X6*Y6/304.8/304.8/304.8</f>
        <v>1.3625262924191639</v>
      </c>
      <c r="AA6" s="3">
        <f>V3+100</f>
        <v>1077.9000000000001</v>
      </c>
      <c r="AB6" s="3">
        <f>W3+40</f>
        <v>1119.5</v>
      </c>
      <c r="AC6" s="3">
        <f t="shared" ref="AC6:AC13" si="2">X6</f>
        <v>16</v>
      </c>
      <c r="AD6" s="2">
        <v>2</v>
      </c>
    </row>
    <row r="7" spans="1:30" x14ac:dyDescent="0.35">
      <c r="A7" s="2">
        <v>2</v>
      </c>
      <c r="B7" s="2" t="s">
        <v>22</v>
      </c>
      <c r="C7" s="2" t="s">
        <v>21</v>
      </c>
      <c r="D7" s="2" t="s">
        <v>3</v>
      </c>
      <c r="E7" s="2">
        <v>1077</v>
      </c>
      <c r="F7" s="2">
        <v>1041.4000000000001</v>
      </c>
      <c r="G7" s="2">
        <v>16</v>
      </c>
      <c r="H7" s="2">
        <v>2</v>
      </c>
      <c r="I7" s="2">
        <f t="shared" si="0"/>
        <v>1.2674719793884031</v>
      </c>
      <c r="J7" s="2"/>
      <c r="K7" s="2"/>
      <c r="L7" s="2"/>
      <c r="M7" s="6"/>
      <c r="N7" s="6"/>
      <c r="O7" s="6"/>
      <c r="P7" s="6"/>
      <c r="Q7" s="6"/>
      <c r="R7" s="6"/>
      <c r="S7" s="6"/>
      <c r="U7" s="2" t="s">
        <v>3</v>
      </c>
      <c r="V7" s="2">
        <v>1077</v>
      </c>
      <c r="W7" s="2">
        <v>1041.4000000000001</v>
      </c>
      <c r="X7" s="2">
        <v>16</v>
      </c>
      <c r="Y7" s="2">
        <v>2</v>
      </c>
      <c r="Z7" s="2">
        <f t="shared" si="1"/>
        <v>1.2674719793884031</v>
      </c>
      <c r="AA7" s="3">
        <f>V3+100</f>
        <v>1077.9000000000001</v>
      </c>
      <c r="AB7" s="3">
        <f>X3</f>
        <v>1041.3999999999999</v>
      </c>
      <c r="AC7" s="3">
        <f t="shared" si="2"/>
        <v>16</v>
      </c>
      <c r="AD7" s="2">
        <v>2</v>
      </c>
    </row>
    <row r="8" spans="1:30" x14ac:dyDescent="0.35">
      <c r="A8" s="2">
        <v>3</v>
      </c>
      <c r="B8" s="2" t="s">
        <v>22</v>
      </c>
      <c r="C8" s="2" t="s">
        <v>21</v>
      </c>
      <c r="D8" s="2" t="s">
        <v>4</v>
      </c>
      <c r="E8" s="2">
        <v>1092.2</v>
      </c>
      <c r="F8" s="2">
        <v>1041.4000000000001</v>
      </c>
      <c r="G8" s="2">
        <v>16</v>
      </c>
      <c r="H8" s="2">
        <v>2</v>
      </c>
      <c r="I8" s="2">
        <f t="shared" si="0"/>
        <v>1.2853601633129192</v>
      </c>
      <c r="J8" s="2"/>
      <c r="K8" s="2"/>
      <c r="L8" s="2"/>
      <c r="M8" s="6"/>
      <c r="N8" s="6"/>
      <c r="O8" s="6"/>
      <c r="P8" s="6"/>
      <c r="Q8" s="6"/>
      <c r="R8" s="6"/>
      <c r="S8" s="6"/>
      <c r="U8" s="2" t="s">
        <v>4</v>
      </c>
      <c r="V8" s="2">
        <v>1092.2</v>
      </c>
      <c r="W8" s="2">
        <v>1041.4000000000001</v>
      </c>
      <c r="X8" s="2">
        <v>16</v>
      </c>
      <c r="Y8" s="2">
        <v>2</v>
      </c>
      <c r="Z8" s="2">
        <f>V8*W8*X8*Y8/304.8/304.8/304.8</f>
        <v>1.2853601633129192</v>
      </c>
      <c r="AA8" s="3">
        <f>W3</f>
        <v>1079.5</v>
      </c>
      <c r="AB8" s="3">
        <f>X3</f>
        <v>1041.3999999999999</v>
      </c>
      <c r="AC8" s="3">
        <f t="shared" si="2"/>
        <v>16</v>
      </c>
      <c r="AD8" s="2">
        <v>2</v>
      </c>
    </row>
    <row r="9" spans="1:30" x14ac:dyDescent="0.35">
      <c r="A9" s="2">
        <v>4</v>
      </c>
      <c r="B9" s="2" t="s">
        <v>22</v>
      </c>
      <c r="C9" s="2" t="s">
        <v>21</v>
      </c>
      <c r="D9" s="2" t="s">
        <v>19</v>
      </c>
      <c r="E9" s="2">
        <v>1119.5</v>
      </c>
      <c r="F9" s="2">
        <v>75</v>
      </c>
      <c r="G9" s="2">
        <v>19</v>
      </c>
      <c r="H9" s="2">
        <v>2</v>
      </c>
      <c r="I9" s="2">
        <f t="shared" si="0"/>
        <v>0.11267409277491344</v>
      </c>
      <c r="J9" s="2"/>
      <c r="K9" s="2"/>
      <c r="L9" s="2"/>
      <c r="M9" s="6"/>
      <c r="N9" s="6"/>
      <c r="O9" s="6"/>
      <c r="P9" s="6"/>
      <c r="Q9" s="6"/>
      <c r="R9" s="6"/>
      <c r="S9" s="6"/>
      <c r="U9" s="2" t="s">
        <v>19</v>
      </c>
      <c r="V9" s="2">
        <v>1119.5</v>
      </c>
      <c r="W9" s="2">
        <v>75</v>
      </c>
      <c r="X9" s="2">
        <v>19</v>
      </c>
      <c r="Y9" s="2">
        <v>2</v>
      </c>
      <c r="Z9" s="2">
        <f t="shared" si="1"/>
        <v>0.11267409277491344</v>
      </c>
      <c r="AA9" s="3">
        <f>W3+40</f>
        <v>1119.5</v>
      </c>
      <c r="AB9" s="3">
        <f>W3+40</f>
        <v>1119.5</v>
      </c>
      <c r="AC9" s="3">
        <f t="shared" si="2"/>
        <v>19</v>
      </c>
      <c r="AD9" s="2">
        <v>2</v>
      </c>
    </row>
    <row r="10" spans="1:30" x14ac:dyDescent="0.35">
      <c r="A10" s="2">
        <v>5</v>
      </c>
      <c r="B10" s="2" t="s">
        <v>22</v>
      </c>
      <c r="C10" s="2" t="s">
        <v>21</v>
      </c>
      <c r="D10" s="2" t="s">
        <v>20</v>
      </c>
      <c r="E10" s="2">
        <v>1119.5</v>
      </c>
      <c r="F10" s="2">
        <v>100</v>
      </c>
      <c r="G10" s="2">
        <v>75</v>
      </c>
      <c r="H10" s="2">
        <v>2</v>
      </c>
      <c r="I10" s="2">
        <f t="shared" si="0"/>
        <v>0.59302154092059711</v>
      </c>
      <c r="J10" s="2"/>
      <c r="K10" s="2"/>
      <c r="L10" s="2"/>
      <c r="M10" s="6"/>
      <c r="N10" s="6"/>
      <c r="O10" s="6"/>
      <c r="P10" s="6"/>
      <c r="Q10" s="6"/>
      <c r="R10" s="6"/>
      <c r="S10" s="6"/>
      <c r="U10" s="2" t="s">
        <v>20</v>
      </c>
      <c r="V10" s="2">
        <v>1119.5</v>
      </c>
      <c r="W10" s="2">
        <v>100</v>
      </c>
      <c r="X10" s="2">
        <v>75</v>
      </c>
      <c r="Y10" s="2">
        <v>2</v>
      </c>
      <c r="Z10" s="2">
        <f t="shared" si="1"/>
        <v>0.59302154092059711</v>
      </c>
      <c r="AA10" s="3">
        <f>W3+40</f>
        <v>1119.5</v>
      </c>
      <c r="AB10" s="3">
        <f>W10</f>
        <v>100</v>
      </c>
      <c r="AC10" s="3">
        <f t="shared" si="2"/>
        <v>75</v>
      </c>
      <c r="AD10" s="2">
        <v>2</v>
      </c>
    </row>
    <row r="11" spans="1:30" x14ac:dyDescent="0.35">
      <c r="A11" s="2">
        <v>6</v>
      </c>
      <c r="B11" s="2" t="s">
        <v>22</v>
      </c>
      <c r="C11" s="2" t="s">
        <v>21</v>
      </c>
      <c r="D11" s="2" t="s">
        <v>5</v>
      </c>
      <c r="E11" s="2">
        <v>1191.4000000000001</v>
      </c>
      <c r="F11" s="2">
        <v>75</v>
      </c>
      <c r="G11" s="2">
        <v>19</v>
      </c>
      <c r="H11" s="2">
        <v>4</v>
      </c>
      <c r="I11" s="2">
        <f t="shared" si="0"/>
        <v>0.23982119541229457</v>
      </c>
      <c r="J11" s="2"/>
      <c r="K11" s="2"/>
      <c r="L11" s="2"/>
      <c r="M11" s="6"/>
      <c r="N11" s="6"/>
      <c r="O11" s="6"/>
      <c r="P11" s="6"/>
      <c r="Q11" s="6"/>
      <c r="R11" s="6"/>
      <c r="S11" s="6"/>
      <c r="U11" s="2" t="s">
        <v>5</v>
      </c>
      <c r="V11" s="2">
        <v>1191.4000000000001</v>
      </c>
      <c r="W11" s="2">
        <v>75</v>
      </c>
      <c r="X11" s="2">
        <v>19</v>
      </c>
      <c r="Y11" s="2">
        <v>4</v>
      </c>
      <c r="Z11" s="2">
        <f t="shared" si="1"/>
        <v>0.23982119541229457</v>
      </c>
      <c r="AA11" s="3">
        <f>X3+150</f>
        <v>1191.3999999999999</v>
      </c>
      <c r="AB11" s="3">
        <f>W11</f>
        <v>75</v>
      </c>
      <c r="AC11" s="3">
        <f t="shared" si="2"/>
        <v>19</v>
      </c>
      <c r="AD11" s="2">
        <v>4</v>
      </c>
    </row>
    <row r="12" spans="1:30" x14ac:dyDescent="0.35">
      <c r="A12" s="2">
        <v>7</v>
      </c>
      <c r="B12" s="2" t="s">
        <v>22</v>
      </c>
      <c r="C12" s="2" t="s">
        <v>21</v>
      </c>
      <c r="D12" s="2" t="s">
        <v>47</v>
      </c>
      <c r="E12" s="2">
        <v>1041.4000000000001</v>
      </c>
      <c r="F12" s="2">
        <v>75</v>
      </c>
      <c r="G12" s="2">
        <v>19</v>
      </c>
      <c r="H12" s="2">
        <v>6</v>
      </c>
      <c r="I12" s="2">
        <f t="shared" ref="I12" si="3">E12*F12*G12*H12/304.8/304.8/304.8</f>
        <v>0.31444073304813275</v>
      </c>
      <c r="J12" s="2"/>
      <c r="K12" s="2"/>
      <c r="L12" s="2"/>
      <c r="M12" s="6"/>
      <c r="N12" s="6"/>
      <c r="O12" s="6"/>
      <c r="P12" s="6"/>
      <c r="Q12" s="6"/>
      <c r="R12" s="6"/>
      <c r="S12" s="6"/>
      <c r="U12" s="2" t="s">
        <v>47</v>
      </c>
      <c r="V12" s="2">
        <v>1041.4000000000001</v>
      </c>
      <c r="W12" s="2">
        <v>75</v>
      </c>
      <c r="X12" s="2">
        <v>19</v>
      </c>
      <c r="Y12" s="2">
        <v>6</v>
      </c>
      <c r="Z12" s="2">
        <f t="shared" si="1"/>
        <v>0.31444073304813275</v>
      </c>
      <c r="AA12" s="3">
        <f>X3</f>
        <v>1041.3999999999999</v>
      </c>
      <c r="AB12" s="3">
        <f>W12</f>
        <v>75</v>
      </c>
      <c r="AC12" s="3">
        <f t="shared" si="2"/>
        <v>19</v>
      </c>
      <c r="AD12" s="2">
        <v>6</v>
      </c>
    </row>
    <row r="13" spans="1:30" x14ac:dyDescent="0.35">
      <c r="A13" s="2">
        <v>8</v>
      </c>
      <c r="B13" s="2" t="s">
        <v>22</v>
      </c>
      <c r="C13" s="2" t="s">
        <v>21</v>
      </c>
      <c r="D13" s="2" t="s">
        <v>48</v>
      </c>
      <c r="E13" s="2">
        <f>V13</f>
        <v>1079.5</v>
      </c>
      <c r="F13" s="2">
        <v>75</v>
      </c>
      <c r="G13" s="2">
        <v>19</v>
      </c>
      <c r="H13" s="2">
        <v>4</v>
      </c>
      <c r="I13" s="2">
        <f t="shared" si="0"/>
        <v>0.21729644153732752</v>
      </c>
      <c r="J13" s="2"/>
      <c r="K13" s="2"/>
      <c r="L13" s="2"/>
      <c r="M13" s="6"/>
      <c r="N13" s="6"/>
      <c r="O13" s="6"/>
      <c r="P13" s="6"/>
      <c r="Q13" s="6"/>
      <c r="R13" s="6"/>
      <c r="S13" s="6"/>
      <c r="U13" s="2" t="s">
        <v>48</v>
      </c>
      <c r="V13" s="2">
        <f>W3</f>
        <v>1079.5</v>
      </c>
      <c r="W13" s="2">
        <v>75</v>
      </c>
      <c r="X13" s="2">
        <v>19</v>
      </c>
      <c r="Y13" s="2">
        <v>4</v>
      </c>
      <c r="Z13" s="2">
        <f t="shared" si="1"/>
        <v>0.21729644153732752</v>
      </c>
      <c r="AA13" s="3">
        <f>W3</f>
        <v>1079.5</v>
      </c>
      <c r="AB13" s="3">
        <f>W13</f>
        <v>75</v>
      </c>
      <c r="AC13" s="3">
        <f t="shared" si="2"/>
        <v>19</v>
      </c>
      <c r="AD13" s="2">
        <v>4</v>
      </c>
    </row>
    <row r="14" spans="1:30" ht="15.5" x14ac:dyDescent="0.35">
      <c r="A14" s="3"/>
      <c r="B14" s="3"/>
      <c r="C14" s="3"/>
      <c r="D14" s="3"/>
      <c r="E14" s="3"/>
      <c r="F14" s="3"/>
      <c r="G14" s="3"/>
      <c r="H14" s="3"/>
      <c r="I14" s="4">
        <f>SUM(I6:I13)</f>
        <v>5.3926124388137522</v>
      </c>
      <c r="J14" s="4">
        <f>J6+I14</f>
        <v>5.9318736826951275</v>
      </c>
      <c r="K14" s="4">
        <f>J14*K6</f>
        <v>5486.9831564929927</v>
      </c>
      <c r="L14" s="4">
        <f>J14*L6</f>
        <v>1127.0559997120743</v>
      </c>
      <c r="M14" s="4">
        <f>J14*M6</f>
        <v>118.63747365390255</v>
      </c>
      <c r="N14" s="4">
        <f>J14*N6</f>
        <v>296.59368413475636</v>
      </c>
      <c r="O14" s="4">
        <f>J14*O6</f>
        <v>296.59368413475636</v>
      </c>
      <c r="P14" s="4">
        <f>J14*P6</f>
        <v>177.95621048085383</v>
      </c>
      <c r="Q14" s="4">
        <f>SUM(K14:P14)</f>
        <v>7503.820208609337</v>
      </c>
      <c r="R14" s="4">
        <f>Q14*R6</f>
        <v>1500.7640417218674</v>
      </c>
      <c r="S14" s="5">
        <f>Q14+R14</f>
        <v>9004.5842503312051</v>
      </c>
      <c r="U14" s="3"/>
      <c r="V14" s="3"/>
      <c r="W14" s="3"/>
      <c r="X14" s="3"/>
      <c r="Y14" s="3"/>
      <c r="Z14" s="4">
        <f>SUM(Z6:Z13)</f>
        <v>5.3926124388137522</v>
      </c>
    </row>
    <row r="16" spans="1:30" x14ac:dyDescent="0.35">
      <c r="H16" s="10">
        <v>25.4</v>
      </c>
      <c r="I16" s="12">
        <v>42</v>
      </c>
      <c r="J16" s="12">
        <v>35</v>
      </c>
      <c r="K16" s="12">
        <v>24</v>
      </c>
    </row>
    <row r="17" spans="1:22" x14ac:dyDescent="0.35">
      <c r="I17">
        <f>I16*$H$16</f>
        <v>1066.8</v>
      </c>
      <c r="J17">
        <f>J16*$H$16</f>
        <v>889</v>
      </c>
      <c r="K17">
        <f>K16*$H$16</f>
        <v>609.59999999999991</v>
      </c>
    </row>
    <row r="18" spans="1:22" ht="18.5" x14ac:dyDescent="0.45">
      <c r="A18" s="1">
        <v>2</v>
      </c>
      <c r="B18" s="1"/>
      <c r="C18" s="1"/>
      <c r="D18" s="1"/>
      <c r="E18" s="1"/>
      <c r="F18" s="1"/>
      <c r="G18" s="1"/>
      <c r="H18" s="18" t="s">
        <v>32</v>
      </c>
      <c r="I18" s="19"/>
      <c r="J18" s="19"/>
      <c r="K18" s="19"/>
      <c r="L18" s="19"/>
      <c r="M18" s="20"/>
      <c r="N18" s="1"/>
      <c r="O18" s="1"/>
      <c r="P18" s="1"/>
      <c r="Q18" s="1"/>
      <c r="R18" s="1"/>
      <c r="S18" s="1"/>
    </row>
    <row r="19" spans="1:22" ht="15.5" x14ac:dyDescent="0.35">
      <c r="A19" s="4" t="s">
        <v>7</v>
      </c>
      <c r="B19" s="4" t="s">
        <v>8</v>
      </c>
      <c r="C19" s="4" t="s">
        <v>9</v>
      </c>
      <c r="D19" s="4" t="s">
        <v>24</v>
      </c>
      <c r="E19" s="4" t="s">
        <v>10</v>
      </c>
      <c r="F19" s="4" t="s">
        <v>25</v>
      </c>
      <c r="G19" s="4" t="s">
        <v>26</v>
      </c>
      <c r="H19" s="4" t="s">
        <v>1</v>
      </c>
      <c r="I19" s="4" t="s">
        <v>11</v>
      </c>
      <c r="J19" s="4" t="s">
        <v>29</v>
      </c>
      <c r="K19" s="4" t="s">
        <v>12</v>
      </c>
      <c r="L19" s="4" t="s">
        <v>13</v>
      </c>
      <c r="M19" s="4" t="s">
        <v>14</v>
      </c>
      <c r="N19" s="4" t="s">
        <v>6</v>
      </c>
      <c r="O19" s="4" t="s">
        <v>15</v>
      </c>
      <c r="P19" s="4" t="s">
        <v>16</v>
      </c>
      <c r="Q19" s="4" t="s">
        <v>0</v>
      </c>
      <c r="R19" s="4" t="s">
        <v>17</v>
      </c>
      <c r="S19" s="4" t="s">
        <v>18</v>
      </c>
    </row>
    <row r="20" spans="1:22" x14ac:dyDescent="0.35">
      <c r="A20" s="2">
        <v>1</v>
      </c>
      <c r="B20" s="2" t="s">
        <v>22</v>
      </c>
      <c r="C20" s="2" t="s">
        <v>21</v>
      </c>
      <c r="D20" s="2" t="s">
        <v>2</v>
      </c>
      <c r="E20" s="2">
        <f>I17+100</f>
        <v>1166.8</v>
      </c>
      <c r="F20" s="2">
        <f>J17+40</f>
        <v>929</v>
      </c>
      <c r="G20" s="11">
        <v>16</v>
      </c>
      <c r="H20" s="2">
        <v>2</v>
      </c>
      <c r="I20" s="2">
        <f t="shared" ref="I20:I27" si="4">E20*F20*G20*H20/304.8/304.8/304.8</f>
        <v>1.2249467922674544</v>
      </c>
      <c r="J20" s="2">
        <f>I28*10%</f>
        <v>0.38996228609437378</v>
      </c>
      <c r="K20" s="2">
        <v>925</v>
      </c>
      <c r="L20" s="2">
        <v>190</v>
      </c>
      <c r="M20" s="6">
        <v>20</v>
      </c>
      <c r="N20" s="6">
        <v>50</v>
      </c>
      <c r="O20" s="6">
        <v>50</v>
      </c>
      <c r="P20" s="6">
        <v>30</v>
      </c>
      <c r="Q20" s="6"/>
      <c r="R20" s="7">
        <v>0.2</v>
      </c>
      <c r="S20" s="6"/>
    </row>
    <row r="21" spans="1:22" x14ac:dyDescent="0.35">
      <c r="A21" s="2">
        <v>2</v>
      </c>
      <c r="B21" s="2" t="s">
        <v>22</v>
      </c>
      <c r="C21" s="2" t="s">
        <v>21</v>
      </c>
      <c r="D21" s="2" t="s">
        <v>3</v>
      </c>
      <c r="E21" s="2">
        <f>I17+100</f>
        <v>1166.8</v>
      </c>
      <c r="F21" s="2">
        <f>K17</f>
        <v>609.59999999999991</v>
      </c>
      <c r="G21" s="11">
        <v>16</v>
      </c>
      <c r="H21" s="2">
        <v>2</v>
      </c>
      <c r="I21" s="2">
        <f t="shared" si="4"/>
        <v>0.80379716314988159</v>
      </c>
      <c r="J21" s="2"/>
      <c r="K21" s="2"/>
      <c r="L21" s="2"/>
      <c r="M21" s="6"/>
      <c r="N21" s="6"/>
      <c r="O21" s="6"/>
      <c r="P21" s="6"/>
      <c r="Q21" s="6"/>
      <c r="R21" s="6"/>
      <c r="S21" s="6"/>
    </row>
    <row r="22" spans="1:22" x14ac:dyDescent="0.35">
      <c r="A22" s="2">
        <v>3</v>
      </c>
      <c r="B22" s="2" t="s">
        <v>22</v>
      </c>
      <c r="C22" s="2" t="s">
        <v>21</v>
      </c>
      <c r="D22" s="2" t="s">
        <v>4</v>
      </c>
      <c r="E22" s="2">
        <f>I17+50</f>
        <v>1116.8</v>
      </c>
      <c r="F22" s="2">
        <f>K17</f>
        <v>609.59999999999991</v>
      </c>
      <c r="G22" s="11">
        <v>16</v>
      </c>
      <c r="H22" s="2">
        <v>2</v>
      </c>
      <c r="I22" s="2">
        <f t="shared" si="4"/>
        <v>0.76935264981641049</v>
      </c>
      <c r="J22" s="2"/>
      <c r="K22" s="2"/>
      <c r="L22" s="2"/>
      <c r="M22" s="6"/>
      <c r="N22" s="6"/>
      <c r="O22" s="6"/>
      <c r="P22" s="6"/>
      <c r="Q22" s="6"/>
      <c r="R22" s="6"/>
      <c r="S22" s="6"/>
    </row>
    <row r="23" spans="1:22" x14ac:dyDescent="0.35">
      <c r="A23" s="2">
        <v>4</v>
      </c>
      <c r="B23" s="2" t="s">
        <v>22</v>
      </c>
      <c r="C23" s="2" t="s">
        <v>21</v>
      </c>
      <c r="D23" s="2" t="s">
        <v>19</v>
      </c>
      <c r="E23" s="2">
        <f>J17+40</f>
        <v>929</v>
      </c>
      <c r="F23" s="11">
        <v>75</v>
      </c>
      <c r="G23" s="11">
        <v>19</v>
      </c>
      <c r="H23" s="9">
        <v>2</v>
      </c>
      <c r="I23" s="2">
        <f t="shared" si="4"/>
        <v>9.3500877345149253E-2</v>
      </c>
      <c r="J23" s="2"/>
      <c r="K23" s="2"/>
      <c r="L23" s="2"/>
      <c r="M23" s="6"/>
      <c r="N23" s="6"/>
      <c r="O23" s="6"/>
      <c r="P23" s="6"/>
      <c r="Q23" s="6"/>
      <c r="R23" s="6"/>
      <c r="S23" s="6"/>
    </row>
    <row r="24" spans="1:22" x14ac:dyDescent="0.35">
      <c r="A24" s="2">
        <v>5</v>
      </c>
      <c r="B24" s="2" t="s">
        <v>22</v>
      </c>
      <c r="C24" s="2" t="s">
        <v>21</v>
      </c>
      <c r="D24" s="2" t="s">
        <v>20</v>
      </c>
      <c r="E24" s="2">
        <f>J17+40</f>
        <v>929</v>
      </c>
      <c r="F24" s="11">
        <v>100</v>
      </c>
      <c r="G24" s="11">
        <v>75</v>
      </c>
      <c r="H24" s="9">
        <v>2</v>
      </c>
      <c r="I24" s="2">
        <f t="shared" si="4"/>
        <v>0.49210988076394346</v>
      </c>
      <c r="J24" s="2"/>
      <c r="K24" s="2"/>
      <c r="L24" s="2"/>
      <c r="M24" s="6"/>
      <c r="N24" s="6"/>
      <c r="O24" s="6"/>
      <c r="P24" s="6"/>
      <c r="Q24" s="6"/>
      <c r="R24" s="6"/>
      <c r="S24" s="6"/>
    </row>
    <row r="25" spans="1:22" x14ac:dyDescent="0.35">
      <c r="A25" s="2">
        <v>6</v>
      </c>
      <c r="B25" s="2" t="s">
        <v>22</v>
      </c>
      <c r="C25" s="2" t="s">
        <v>21</v>
      </c>
      <c r="D25" s="2" t="s">
        <v>5</v>
      </c>
      <c r="E25" s="2">
        <v>759.6</v>
      </c>
      <c r="F25" s="11">
        <v>75</v>
      </c>
      <c r="G25" s="11">
        <v>19</v>
      </c>
      <c r="H25" s="9">
        <v>4</v>
      </c>
      <c r="I25" s="2">
        <f t="shared" ref="I25:I26" si="5">E25*F25*G25*H25/304.8/304.8/304.8</f>
        <v>0.15290261879736358</v>
      </c>
      <c r="J25" s="2"/>
      <c r="K25" s="2"/>
      <c r="L25" s="2"/>
      <c r="M25" s="6"/>
      <c r="N25" s="6"/>
      <c r="O25" s="6"/>
      <c r="P25" s="6"/>
      <c r="Q25" s="6"/>
      <c r="R25" s="6"/>
      <c r="S25" s="6"/>
    </row>
    <row r="26" spans="1:22" x14ac:dyDescent="0.35">
      <c r="A26" s="2">
        <v>7</v>
      </c>
      <c r="B26" s="2" t="s">
        <v>22</v>
      </c>
      <c r="C26" s="2" t="s">
        <v>21</v>
      </c>
      <c r="D26" s="2" t="s">
        <v>47</v>
      </c>
      <c r="E26" s="2">
        <v>609.6</v>
      </c>
      <c r="F26" s="11">
        <v>75</v>
      </c>
      <c r="G26" s="11">
        <v>19</v>
      </c>
      <c r="H26" s="9">
        <v>6</v>
      </c>
      <c r="I26" s="2">
        <f t="shared" si="5"/>
        <v>0.18406286812573625</v>
      </c>
      <c r="J26" s="2"/>
      <c r="K26" s="2"/>
      <c r="L26" s="2"/>
      <c r="M26" s="6"/>
      <c r="N26" s="6"/>
      <c r="O26" s="6"/>
      <c r="P26" s="6"/>
      <c r="Q26" s="6"/>
      <c r="R26" s="6"/>
      <c r="S26" s="6"/>
    </row>
    <row r="27" spans="1:22" x14ac:dyDescent="0.35">
      <c r="A27" s="2">
        <v>8</v>
      </c>
      <c r="B27" s="2" t="s">
        <v>22</v>
      </c>
      <c r="C27" s="2" t="s">
        <v>21</v>
      </c>
      <c r="D27" s="2" t="s">
        <v>48</v>
      </c>
      <c r="E27" s="2">
        <v>889</v>
      </c>
      <c r="F27" s="11">
        <v>75</v>
      </c>
      <c r="G27" s="11">
        <v>19</v>
      </c>
      <c r="H27" s="9">
        <v>4</v>
      </c>
      <c r="I27" s="2">
        <f t="shared" si="4"/>
        <v>0.17895001067779912</v>
      </c>
      <c r="J27" s="2"/>
      <c r="K27" s="2"/>
      <c r="L27" s="2"/>
      <c r="M27" s="6"/>
      <c r="N27" s="6"/>
      <c r="O27" s="6"/>
      <c r="P27" s="6"/>
      <c r="Q27" s="6"/>
      <c r="R27" s="6"/>
      <c r="S27" s="6"/>
    </row>
    <row r="28" spans="1:22" ht="15.5" x14ac:dyDescent="0.35">
      <c r="A28" s="3"/>
      <c r="B28" s="3"/>
      <c r="C28" s="3"/>
      <c r="D28" s="3"/>
      <c r="E28" s="3"/>
      <c r="F28" s="3"/>
      <c r="G28" s="3"/>
      <c r="H28" s="3"/>
      <c r="I28" s="4">
        <f>SUM(I20:I27)</f>
        <v>3.8996228609437376</v>
      </c>
      <c r="J28" s="4">
        <f>J20+I28</f>
        <v>4.2895851470381112</v>
      </c>
      <c r="K28" s="4">
        <f>J28*K20</f>
        <v>3967.8662610102529</v>
      </c>
      <c r="L28" s="4">
        <f>J28*L20</f>
        <v>815.02117793724108</v>
      </c>
      <c r="M28" s="4">
        <f>J28*M20</f>
        <v>85.791702940762221</v>
      </c>
      <c r="N28" s="4">
        <f>J28*N20</f>
        <v>214.47925735190557</v>
      </c>
      <c r="O28" s="4">
        <f>J28*O20</f>
        <v>214.47925735190557</v>
      </c>
      <c r="P28" s="4">
        <f>J28*P20</f>
        <v>128.68755441114334</v>
      </c>
      <c r="Q28" s="4">
        <f>SUM(K28:P28)</f>
        <v>5426.3252110032108</v>
      </c>
      <c r="R28" s="4">
        <f>Q28*R20</f>
        <v>1085.2650422006423</v>
      </c>
      <c r="S28" s="5">
        <f>Q28+R28</f>
        <v>6511.5902532038526</v>
      </c>
      <c r="V28" t="s">
        <v>33</v>
      </c>
    </row>
    <row r="31" spans="1:22" x14ac:dyDescent="0.35">
      <c r="H31" s="10">
        <v>25.4</v>
      </c>
      <c r="I31" s="12">
        <v>80</v>
      </c>
      <c r="J31" s="12">
        <v>32</v>
      </c>
      <c r="K31" s="12">
        <v>35</v>
      </c>
    </row>
    <row r="32" spans="1:22" x14ac:dyDescent="0.35">
      <c r="I32">
        <f>I31*$H$16</f>
        <v>2032</v>
      </c>
      <c r="J32">
        <f>J31*$H$16</f>
        <v>812.8</v>
      </c>
      <c r="K32">
        <f>K31*$H$16</f>
        <v>889</v>
      </c>
    </row>
    <row r="33" spans="1:22" ht="18.5" x14ac:dyDescent="0.45">
      <c r="A33" s="1">
        <v>3</v>
      </c>
      <c r="B33" s="1"/>
      <c r="C33" s="1"/>
      <c r="D33" s="1"/>
      <c r="E33" s="1"/>
      <c r="F33" s="1"/>
      <c r="G33" s="1"/>
      <c r="H33" s="18" t="s">
        <v>34</v>
      </c>
      <c r="I33" s="19"/>
      <c r="J33" s="19"/>
      <c r="K33" s="19"/>
      <c r="L33" s="19"/>
      <c r="M33" s="20"/>
      <c r="N33" s="1"/>
      <c r="O33" s="1"/>
      <c r="P33" s="1"/>
      <c r="Q33" s="1"/>
      <c r="R33" s="1"/>
      <c r="S33" s="1"/>
    </row>
    <row r="34" spans="1:22" ht="15.5" x14ac:dyDescent="0.35">
      <c r="A34" s="4" t="s">
        <v>7</v>
      </c>
      <c r="B34" s="4" t="s">
        <v>8</v>
      </c>
      <c r="C34" s="4" t="s">
        <v>9</v>
      </c>
      <c r="D34" s="4" t="s">
        <v>24</v>
      </c>
      <c r="E34" s="4" t="s">
        <v>10</v>
      </c>
      <c r="F34" s="4" t="s">
        <v>25</v>
      </c>
      <c r="G34" s="4" t="s">
        <v>26</v>
      </c>
      <c r="H34" s="4" t="s">
        <v>1</v>
      </c>
      <c r="I34" s="4" t="s">
        <v>11</v>
      </c>
      <c r="J34" s="4" t="s">
        <v>29</v>
      </c>
      <c r="K34" s="4" t="s">
        <v>12</v>
      </c>
      <c r="L34" s="4" t="s">
        <v>13</v>
      </c>
      <c r="M34" s="4" t="s">
        <v>14</v>
      </c>
      <c r="N34" s="4" t="s">
        <v>6</v>
      </c>
      <c r="O34" s="4" t="s">
        <v>15</v>
      </c>
      <c r="P34" s="4" t="s">
        <v>16</v>
      </c>
      <c r="Q34" s="4" t="s">
        <v>0</v>
      </c>
      <c r="R34" s="4" t="s">
        <v>17</v>
      </c>
      <c r="S34" s="4" t="s">
        <v>18</v>
      </c>
    </row>
    <row r="35" spans="1:22" x14ac:dyDescent="0.35">
      <c r="A35" s="2">
        <v>1</v>
      </c>
      <c r="B35" s="2" t="s">
        <v>22</v>
      </c>
      <c r="C35" s="2" t="s">
        <v>21</v>
      </c>
      <c r="D35" s="2" t="s">
        <v>2</v>
      </c>
      <c r="E35" s="2">
        <f>I32+100</f>
        <v>2132</v>
      </c>
      <c r="F35" s="2">
        <f>J32+40</f>
        <v>852.8</v>
      </c>
      <c r="G35" s="11">
        <v>16</v>
      </c>
      <c r="H35" s="2">
        <v>2</v>
      </c>
      <c r="I35" s="2">
        <f t="shared" ref="I35:I42" si="6">E35*F35*G35*H35/304.8/304.8/304.8</f>
        <v>2.0546577109485509</v>
      </c>
      <c r="J35" s="2">
        <f>I43*10%</f>
        <v>0.65652147034098685</v>
      </c>
      <c r="K35" s="2">
        <v>925</v>
      </c>
      <c r="L35" s="2">
        <v>190</v>
      </c>
      <c r="M35" s="6">
        <v>20</v>
      </c>
      <c r="N35" s="6">
        <v>50</v>
      </c>
      <c r="O35" s="6">
        <v>50</v>
      </c>
      <c r="P35" s="6">
        <v>30</v>
      </c>
      <c r="Q35" s="6"/>
      <c r="R35" s="7">
        <v>0.2</v>
      </c>
      <c r="S35" s="6"/>
    </row>
    <row r="36" spans="1:22" x14ac:dyDescent="0.35">
      <c r="A36" s="2">
        <v>2</v>
      </c>
      <c r="B36" s="2" t="s">
        <v>22</v>
      </c>
      <c r="C36" s="2" t="s">
        <v>21</v>
      </c>
      <c r="D36" s="2" t="s">
        <v>3</v>
      </c>
      <c r="E36" s="2">
        <f>I32+100</f>
        <v>2132</v>
      </c>
      <c r="F36" s="2">
        <f>K32</f>
        <v>889</v>
      </c>
      <c r="G36" s="11">
        <v>16</v>
      </c>
      <c r="H36" s="2">
        <v>2</v>
      </c>
      <c r="I36" s="2">
        <f t="shared" si="6"/>
        <v>2.1418746541196785</v>
      </c>
      <c r="J36" s="2"/>
      <c r="K36" s="2"/>
      <c r="L36" s="2"/>
      <c r="M36" s="6"/>
      <c r="N36" s="6"/>
      <c r="O36" s="6"/>
      <c r="P36" s="6"/>
      <c r="Q36" s="6"/>
      <c r="R36" s="6"/>
      <c r="S36" s="6"/>
    </row>
    <row r="37" spans="1:22" x14ac:dyDescent="0.35">
      <c r="A37" s="2">
        <v>3</v>
      </c>
      <c r="B37" s="2" t="s">
        <v>22</v>
      </c>
      <c r="C37" s="2" t="s">
        <v>21</v>
      </c>
      <c r="D37" s="2" t="s">
        <v>4</v>
      </c>
      <c r="E37" s="2">
        <v>812.8</v>
      </c>
      <c r="F37" s="2">
        <f>K32</f>
        <v>889</v>
      </c>
      <c r="G37" s="11">
        <v>16</v>
      </c>
      <c r="H37" s="2">
        <v>2</v>
      </c>
      <c r="I37" s="2">
        <f t="shared" si="6"/>
        <v>0.81656459609215504</v>
      </c>
      <c r="J37" s="2"/>
      <c r="K37" s="2"/>
      <c r="L37" s="2"/>
      <c r="M37" s="6"/>
      <c r="N37" s="6"/>
      <c r="O37" s="6"/>
      <c r="P37" s="6"/>
      <c r="Q37" s="6"/>
      <c r="R37" s="6"/>
      <c r="S37" s="6"/>
    </row>
    <row r="38" spans="1:22" x14ac:dyDescent="0.35">
      <c r="A38" s="2">
        <v>4</v>
      </c>
      <c r="B38" s="2" t="s">
        <v>22</v>
      </c>
      <c r="C38" s="2" t="s">
        <v>21</v>
      </c>
      <c r="D38" s="2" t="s">
        <v>19</v>
      </c>
      <c r="E38" s="2">
        <f>J32+40</f>
        <v>852.8</v>
      </c>
      <c r="F38" s="11">
        <v>75</v>
      </c>
      <c r="G38" s="11">
        <v>19</v>
      </c>
      <c r="H38" s="9">
        <v>3</v>
      </c>
      <c r="I38" s="2">
        <f t="shared" si="6"/>
        <v>0.12874738675986536</v>
      </c>
      <c r="J38" s="2"/>
      <c r="K38" s="2"/>
      <c r="L38" s="2"/>
      <c r="M38" s="6"/>
      <c r="N38" s="6"/>
      <c r="O38" s="6"/>
      <c r="P38" s="6"/>
      <c r="Q38" s="6"/>
      <c r="R38" s="6"/>
      <c r="S38" s="6"/>
    </row>
    <row r="39" spans="1:22" x14ac:dyDescent="0.35">
      <c r="A39" s="2">
        <v>5</v>
      </c>
      <c r="B39" s="2" t="s">
        <v>22</v>
      </c>
      <c r="C39" s="2" t="s">
        <v>21</v>
      </c>
      <c r="D39" s="2" t="s">
        <v>20</v>
      </c>
      <c r="E39" s="2">
        <f>J32+40</f>
        <v>852.8</v>
      </c>
      <c r="F39" s="11">
        <v>100</v>
      </c>
      <c r="G39" s="11">
        <v>75</v>
      </c>
      <c r="H39" s="9">
        <v>3</v>
      </c>
      <c r="I39" s="2">
        <f t="shared" si="6"/>
        <v>0.67761782505192303</v>
      </c>
      <c r="J39" s="2"/>
      <c r="K39" s="2"/>
      <c r="L39" s="2"/>
      <c r="M39" s="6"/>
      <c r="N39" s="6"/>
      <c r="O39" s="6"/>
      <c r="P39" s="6"/>
      <c r="Q39" s="6"/>
      <c r="R39" s="6"/>
      <c r="S39" s="6"/>
    </row>
    <row r="40" spans="1:22" x14ac:dyDescent="0.35">
      <c r="A40" s="2">
        <v>6</v>
      </c>
      <c r="B40" s="2" t="s">
        <v>22</v>
      </c>
      <c r="C40" s="2" t="s">
        <v>21</v>
      </c>
      <c r="D40" s="2" t="s">
        <v>5</v>
      </c>
      <c r="E40" s="2">
        <v>1039</v>
      </c>
      <c r="F40" s="11">
        <v>75</v>
      </c>
      <c r="G40" s="11">
        <v>19</v>
      </c>
      <c r="H40" s="9">
        <v>6</v>
      </c>
      <c r="I40" s="2">
        <f t="shared" ref="I40:I41" si="7">E40*F40*G40*H40/304.8/304.8/304.8</f>
        <v>0.31371607608700774</v>
      </c>
      <c r="J40" s="2"/>
      <c r="K40" s="2"/>
      <c r="L40" s="2"/>
      <c r="M40" s="6"/>
      <c r="N40" s="6"/>
      <c r="O40" s="6"/>
      <c r="P40" s="6"/>
      <c r="Q40" s="6"/>
      <c r="R40" s="6"/>
      <c r="S40" s="6"/>
    </row>
    <row r="41" spans="1:22" x14ac:dyDescent="0.35">
      <c r="A41" s="2">
        <v>7</v>
      </c>
      <c r="B41" s="2" t="s">
        <v>22</v>
      </c>
      <c r="C41" s="2" t="s">
        <v>21</v>
      </c>
      <c r="D41" s="2" t="s">
        <v>47</v>
      </c>
      <c r="E41" s="2">
        <v>889</v>
      </c>
      <c r="F41" s="11">
        <v>75</v>
      </c>
      <c r="G41" s="11">
        <v>19</v>
      </c>
      <c r="H41" s="9">
        <v>6</v>
      </c>
      <c r="I41" s="2">
        <f t="shared" si="7"/>
        <v>0.26842501601669871</v>
      </c>
      <c r="J41" s="2"/>
      <c r="K41" s="2"/>
      <c r="L41" s="2"/>
      <c r="M41" s="6"/>
      <c r="N41" s="6"/>
      <c r="O41" s="6"/>
      <c r="P41" s="6"/>
      <c r="Q41" s="6"/>
      <c r="R41" s="6"/>
      <c r="S41" s="6"/>
    </row>
    <row r="42" spans="1:22" x14ac:dyDescent="0.35">
      <c r="A42" s="2">
        <v>8</v>
      </c>
      <c r="B42" s="2" t="s">
        <v>22</v>
      </c>
      <c r="C42" s="2" t="s">
        <v>21</v>
      </c>
      <c r="D42" s="2" t="s">
        <v>48</v>
      </c>
      <c r="E42" s="2">
        <v>812.8</v>
      </c>
      <c r="F42" s="11">
        <v>75</v>
      </c>
      <c r="G42" s="11">
        <v>19</v>
      </c>
      <c r="H42" s="9">
        <v>4</v>
      </c>
      <c r="I42" s="2">
        <f t="shared" si="6"/>
        <v>0.16361143833398778</v>
      </c>
      <c r="J42" s="2"/>
      <c r="K42" s="2"/>
      <c r="L42" s="2"/>
      <c r="M42" s="6"/>
      <c r="N42" s="6"/>
      <c r="O42" s="6"/>
      <c r="P42" s="6"/>
      <c r="Q42" s="6"/>
      <c r="R42" s="6"/>
      <c r="S42" s="6"/>
    </row>
    <row r="43" spans="1:22" ht="15.5" x14ac:dyDescent="0.35">
      <c r="A43" s="3"/>
      <c r="B43" s="3"/>
      <c r="C43" s="3"/>
      <c r="D43" s="3"/>
      <c r="E43" s="3"/>
      <c r="F43" s="3"/>
      <c r="G43" s="3"/>
      <c r="H43" s="3"/>
      <c r="I43" s="4">
        <f>SUM(I35:I42)</f>
        <v>6.5652147034098682</v>
      </c>
      <c r="J43" s="4">
        <f>J35+I43</f>
        <v>7.2217361737508554</v>
      </c>
      <c r="K43" s="4">
        <f>J43*K35</f>
        <v>6680.1059607195411</v>
      </c>
      <c r="L43" s="4">
        <f>J43*L35</f>
        <v>1372.1298730126625</v>
      </c>
      <c r="M43" s="4">
        <f>J43*M35</f>
        <v>144.43472347501711</v>
      </c>
      <c r="N43" s="4">
        <f>J43*N35</f>
        <v>361.08680868754277</v>
      </c>
      <c r="O43" s="4">
        <f>J43*O35</f>
        <v>361.08680868754277</v>
      </c>
      <c r="P43" s="4">
        <f>J43*P35</f>
        <v>216.65208521252566</v>
      </c>
      <c r="Q43" s="4">
        <f>SUM(K43:P43)</f>
        <v>9135.4962597948324</v>
      </c>
      <c r="R43" s="4">
        <f>Q43*R35</f>
        <v>1827.0992519589665</v>
      </c>
      <c r="S43" s="5">
        <f>Q43+R43</f>
        <v>10962.5955117538</v>
      </c>
      <c r="V43" t="s">
        <v>33</v>
      </c>
    </row>
    <row r="45" spans="1:22" x14ac:dyDescent="0.35">
      <c r="H45" s="10">
        <v>25.4</v>
      </c>
      <c r="I45" s="12">
        <v>42</v>
      </c>
      <c r="J45" s="12">
        <v>42</v>
      </c>
      <c r="K45" s="12">
        <v>37</v>
      </c>
    </row>
    <row r="46" spans="1:22" x14ac:dyDescent="0.35">
      <c r="I46">
        <f>I45*$H$16</f>
        <v>1066.8</v>
      </c>
      <c r="J46">
        <f>J45*$H$16</f>
        <v>1066.8</v>
      </c>
      <c r="K46">
        <f>K45*$H$16</f>
        <v>939.8</v>
      </c>
    </row>
    <row r="47" spans="1:22" ht="18.5" x14ac:dyDescent="0.45">
      <c r="A47" s="1">
        <v>4</v>
      </c>
      <c r="B47" s="1"/>
      <c r="C47" s="1"/>
      <c r="D47" s="1"/>
      <c r="E47" s="1"/>
      <c r="F47" s="1"/>
      <c r="G47" s="1"/>
      <c r="H47" s="18" t="s">
        <v>35</v>
      </c>
      <c r="I47" s="19"/>
      <c r="J47" s="19"/>
      <c r="K47" s="19"/>
      <c r="L47" s="19"/>
      <c r="M47" s="20"/>
      <c r="N47" s="1"/>
      <c r="O47" s="1"/>
      <c r="P47" s="1"/>
      <c r="Q47" s="1"/>
      <c r="R47" s="1"/>
      <c r="S47" s="1"/>
    </row>
    <row r="48" spans="1:22" ht="15.5" x14ac:dyDescent="0.35">
      <c r="A48" s="4" t="s">
        <v>7</v>
      </c>
      <c r="B48" s="4" t="s">
        <v>8</v>
      </c>
      <c r="C48" s="4" t="s">
        <v>9</v>
      </c>
      <c r="D48" s="4" t="s">
        <v>24</v>
      </c>
      <c r="E48" s="4" t="s">
        <v>10</v>
      </c>
      <c r="F48" s="4" t="s">
        <v>25</v>
      </c>
      <c r="G48" s="4" t="s">
        <v>26</v>
      </c>
      <c r="H48" s="4" t="s">
        <v>1</v>
      </c>
      <c r="I48" s="4" t="s">
        <v>11</v>
      </c>
      <c r="J48" s="4" t="s">
        <v>29</v>
      </c>
      <c r="K48" s="4" t="s">
        <v>12</v>
      </c>
      <c r="L48" s="4" t="s">
        <v>13</v>
      </c>
      <c r="M48" s="4" t="s">
        <v>14</v>
      </c>
      <c r="N48" s="4" t="s">
        <v>6</v>
      </c>
      <c r="O48" s="4" t="s">
        <v>15</v>
      </c>
      <c r="P48" s="4" t="s">
        <v>16</v>
      </c>
      <c r="Q48" s="4" t="s">
        <v>0</v>
      </c>
      <c r="R48" s="4" t="s">
        <v>17</v>
      </c>
      <c r="S48" s="4" t="s">
        <v>18</v>
      </c>
    </row>
    <row r="49" spans="1:22" x14ac:dyDescent="0.35">
      <c r="A49" s="2">
        <v>1</v>
      </c>
      <c r="B49" s="2" t="s">
        <v>22</v>
      </c>
      <c r="C49" s="2" t="s">
        <v>21</v>
      </c>
      <c r="D49" s="2" t="s">
        <v>2</v>
      </c>
      <c r="E49" s="2">
        <f>I46+100</f>
        <v>1166.8</v>
      </c>
      <c r="F49" s="2">
        <f>J46+40</f>
        <v>1106.8</v>
      </c>
      <c r="G49" s="11">
        <v>16</v>
      </c>
      <c r="H49" s="2">
        <v>2</v>
      </c>
      <c r="I49" s="2">
        <f t="shared" ref="I49:I56" si="8">E49*F49*G49*H49/304.8/304.8/304.8</f>
        <v>1.4593876315195031</v>
      </c>
      <c r="J49" s="2">
        <f>I57*10%</f>
        <v>0.52471216439042667</v>
      </c>
      <c r="K49" s="2">
        <v>925</v>
      </c>
      <c r="L49" s="2">
        <v>190</v>
      </c>
      <c r="M49" s="6">
        <v>20</v>
      </c>
      <c r="N49" s="6">
        <v>50</v>
      </c>
      <c r="O49" s="6">
        <v>50</v>
      </c>
      <c r="P49" s="6">
        <v>30</v>
      </c>
      <c r="Q49" s="6"/>
      <c r="R49" s="7">
        <v>0.2</v>
      </c>
      <c r="S49" s="6"/>
    </row>
    <row r="50" spans="1:22" x14ac:dyDescent="0.35">
      <c r="A50" s="2">
        <v>2</v>
      </c>
      <c r="B50" s="2" t="s">
        <v>22</v>
      </c>
      <c r="C50" s="2" t="s">
        <v>21</v>
      </c>
      <c r="D50" s="2" t="s">
        <v>3</v>
      </c>
      <c r="E50" s="2">
        <f>I46+100</f>
        <v>1166.8</v>
      </c>
      <c r="F50" s="2">
        <f>K46</f>
        <v>939.8</v>
      </c>
      <c r="G50" s="11">
        <v>16</v>
      </c>
      <c r="H50" s="2">
        <v>2</v>
      </c>
      <c r="I50" s="2">
        <f t="shared" si="8"/>
        <v>1.239187293189401</v>
      </c>
      <c r="J50" s="2"/>
      <c r="K50" s="2"/>
      <c r="L50" s="2"/>
      <c r="M50" s="6"/>
      <c r="N50" s="6"/>
      <c r="O50" s="6"/>
      <c r="P50" s="6"/>
      <c r="Q50" s="6"/>
      <c r="R50" s="6"/>
      <c r="S50" s="6"/>
    </row>
    <row r="51" spans="1:22" x14ac:dyDescent="0.35">
      <c r="A51" s="2">
        <v>3</v>
      </c>
      <c r="B51" s="2" t="s">
        <v>22</v>
      </c>
      <c r="C51" s="2" t="s">
        <v>21</v>
      </c>
      <c r="D51" s="2" t="s">
        <v>4</v>
      </c>
      <c r="E51" s="2">
        <v>1066.8</v>
      </c>
      <c r="F51" s="2">
        <f>K46</f>
        <v>939.8</v>
      </c>
      <c r="G51" s="11">
        <v>16</v>
      </c>
      <c r="H51" s="2">
        <v>2</v>
      </c>
      <c r="I51" s="2">
        <f t="shared" si="8"/>
        <v>1.1329833770778652</v>
      </c>
      <c r="J51" s="2"/>
      <c r="K51" s="2"/>
      <c r="L51" s="2"/>
      <c r="M51" s="6"/>
      <c r="N51" s="6"/>
      <c r="O51" s="6"/>
      <c r="P51" s="6"/>
      <c r="Q51" s="6"/>
      <c r="R51" s="6"/>
      <c r="S51" s="6"/>
    </row>
    <row r="52" spans="1:22" x14ac:dyDescent="0.35">
      <c r="A52" s="2">
        <v>4</v>
      </c>
      <c r="B52" s="2" t="s">
        <v>22</v>
      </c>
      <c r="C52" s="2" t="s">
        <v>21</v>
      </c>
      <c r="D52" s="2" t="s">
        <v>19</v>
      </c>
      <c r="E52" s="2">
        <f>J46+40</f>
        <v>1106.8</v>
      </c>
      <c r="F52" s="11">
        <v>75</v>
      </c>
      <c r="G52" s="11">
        <v>19</v>
      </c>
      <c r="H52" s="13">
        <v>2</v>
      </c>
      <c r="I52" s="2">
        <f t="shared" si="8"/>
        <v>0.11139587841292915</v>
      </c>
      <c r="J52" s="2"/>
      <c r="K52" s="2"/>
      <c r="L52" s="2"/>
      <c r="M52" s="6"/>
      <c r="N52" s="6"/>
      <c r="O52" s="6"/>
      <c r="P52" s="6"/>
      <c r="Q52" s="6"/>
      <c r="R52" s="6"/>
      <c r="S52" s="6"/>
    </row>
    <row r="53" spans="1:22" x14ac:dyDescent="0.35">
      <c r="A53" s="2">
        <v>5</v>
      </c>
      <c r="B53" s="2" t="s">
        <v>22</v>
      </c>
      <c r="C53" s="2" t="s">
        <v>21</v>
      </c>
      <c r="D53" s="2" t="s">
        <v>20</v>
      </c>
      <c r="E53" s="2">
        <f>J46+40</f>
        <v>1106.8</v>
      </c>
      <c r="F53" s="11">
        <v>100</v>
      </c>
      <c r="G53" s="11">
        <v>75</v>
      </c>
      <c r="H53" s="13">
        <v>2</v>
      </c>
      <c r="I53" s="2">
        <f t="shared" si="8"/>
        <v>0.58629409691015344</v>
      </c>
      <c r="J53" s="2"/>
      <c r="K53" s="2"/>
      <c r="L53" s="2"/>
      <c r="M53" s="6"/>
      <c r="N53" s="6"/>
      <c r="O53" s="6"/>
      <c r="P53" s="6"/>
      <c r="Q53" s="6"/>
      <c r="R53" s="6"/>
      <c r="S53" s="6"/>
    </row>
    <row r="54" spans="1:22" x14ac:dyDescent="0.35">
      <c r="A54" s="2">
        <v>6</v>
      </c>
      <c r="B54" s="2" t="s">
        <v>22</v>
      </c>
      <c r="C54" s="2" t="s">
        <v>21</v>
      </c>
      <c r="D54" s="2" t="s">
        <v>5</v>
      </c>
      <c r="E54" s="2">
        <v>1089.8</v>
      </c>
      <c r="F54" s="11">
        <v>75</v>
      </c>
      <c r="G54" s="11">
        <v>19</v>
      </c>
      <c r="H54" s="13">
        <v>4</v>
      </c>
      <c r="I54" s="2">
        <f t="shared" ref="I54:I55" si="9">E54*F54*G54*H54/304.8/304.8/304.8</f>
        <v>0.21936976562054608</v>
      </c>
      <c r="J54" s="2"/>
      <c r="K54" s="2"/>
      <c r="L54" s="2"/>
      <c r="M54" s="6"/>
      <c r="N54" s="6"/>
      <c r="O54" s="6"/>
      <c r="P54" s="6"/>
      <c r="Q54" s="6"/>
      <c r="R54" s="6"/>
      <c r="S54" s="6"/>
    </row>
    <row r="55" spans="1:22" x14ac:dyDescent="0.35">
      <c r="A55" s="2">
        <v>7</v>
      </c>
      <c r="B55" s="2" t="s">
        <v>22</v>
      </c>
      <c r="C55" s="2" t="s">
        <v>21</v>
      </c>
      <c r="D55" s="2" t="s">
        <v>47</v>
      </c>
      <c r="E55" s="2">
        <v>939.8</v>
      </c>
      <c r="F55" s="11">
        <v>75</v>
      </c>
      <c r="G55" s="11">
        <v>19</v>
      </c>
      <c r="H55" s="13">
        <v>6</v>
      </c>
      <c r="I55" s="2">
        <f t="shared" si="9"/>
        <v>0.28376358836051008</v>
      </c>
      <c r="J55" s="2"/>
      <c r="K55" s="2"/>
      <c r="L55" s="2"/>
      <c r="M55" s="6"/>
      <c r="N55" s="6"/>
      <c r="O55" s="6"/>
      <c r="P55" s="6"/>
      <c r="Q55" s="6"/>
      <c r="R55" s="6"/>
      <c r="S55" s="6"/>
    </row>
    <row r="56" spans="1:22" x14ac:dyDescent="0.35">
      <c r="A56" s="2">
        <v>8</v>
      </c>
      <c r="B56" s="2" t="s">
        <v>22</v>
      </c>
      <c r="C56" s="2" t="s">
        <v>21</v>
      </c>
      <c r="D56" s="2" t="s">
        <v>48</v>
      </c>
      <c r="E56" s="2">
        <v>1066.8</v>
      </c>
      <c r="F56" s="11">
        <v>75</v>
      </c>
      <c r="G56" s="11">
        <v>19</v>
      </c>
      <c r="H56" s="13">
        <v>4</v>
      </c>
      <c r="I56" s="2">
        <f t="shared" si="8"/>
        <v>0.21474001281335894</v>
      </c>
      <c r="J56" s="2"/>
      <c r="K56" s="2"/>
      <c r="L56" s="2"/>
      <c r="M56" s="6"/>
      <c r="N56" s="6"/>
      <c r="O56" s="6"/>
      <c r="P56" s="6"/>
      <c r="Q56" s="6"/>
      <c r="R56" s="6"/>
      <c r="S56" s="6"/>
    </row>
    <row r="57" spans="1:22" ht="15.5" x14ac:dyDescent="0.35">
      <c r="A57" s="3"/>
      <c r="B57" s="3"/>
      <c r="C57" s="3"/>
      <c r="D57" s="3"/>
      <c r="E57" s="3"/>
      <c r="F57" s="3"/>
      <c r="G57" s="3"/>
      <c r="H57" s="3"/>
      <c r="I57" s="4">
        <f>SUM(I49:I56)</f>
        <v>5.2471216439042667</v>
      </c>
      <c r="J57" s="4">
        <f>J49+I57</f>
        <v>5.7718338082946934</v>
      </c>
      <c r="K57" s="4">
        <f>J57*K49</f>
        <v>5338.9462726725915</v>
      </c>
      <c r="L57" s="4">
        <f>J57*L49</f>
        <v>1096.6484235759917</v>
      </c>
      <c r="M57" s="4">
        <f>J57*M49</f>
        <v>115.43667616589387</v>
      </c>
      <c r="N57" s="4">
        <f>J57*N49</f>
        <v>288.59169041473467</v>
      </c>
      <c r="O57" s="4">
        <f>J57*O49</f>
        <v>288.59169041473467</v>
      </c>
      <c r="P57" s="4">
        <f>J57*P49</f>
        <v>173.15501424884081</v>
      </c>
      <c r="Q57" s="4">
        <f>SUM(K57:P57)</f>
        <v>7301.3697674927862</v>
      </c>
      <c r="R57" s="4">
        <f>Q57*R49</f>
        <v>1460.2739534985574</v>
      </c>
      <c r="S57" s="5">
        <f>Q57+R57</f>
        <v>8761.6437209913438</v>
      </c>
      <c r="V57" t="s">
        <v>33</v>
      </c>
    </row>
    <row r="60" spans="1:22" x14ac:dyDescent="0.35">
      <c r="H60" s="10">
        <v>25.4</v>
      </c>
      <c r="I60" s="12">
        <v>48</v>
      </c>
      <c r="J60" s="12">
        <v>45</v>
      </c>
      <c r="K60" s="12">
        <v>40</v>
      </c>
    </row>
    <row r="61" spans="1:22" x14ac:dyDescent="0.35">
      <c r="I61">
        <f>I60*$H$16</f>
        <v>1219.1999999999998</v>
      </c>
      <c r="J61">
        <f>J60*$H$16</f>
        <v>1143</v>
      </c>
      <c r="K61">
        <f>K60*$H$16</f>
        <v>1016</v>
      </c>
    </row>
    <row r="62" spans="1:22" ht="18.5" x14ac:dyDescent="0.45">
      <c r="A62" s="1">
        <v>5</v>
      </c>
      <c r="B62" s="1"/>
      <c r="C62" s="1"/>
      <c r="D62" s="1"/>
      <c r="E62" s="1"/>
      <c r="F62" s="1"/>
      <c r="G62" s="1"/>
      <c r="H62" s="18" t="s">
        <v>36</v>
      </c>
      <c r="I62" s="19"/>
      <c r="J62" s="19"/>
      <c r="K62" s="19"/>
      <c r="L62" s="19"/>
      <c r="M62" s="20"/>
      <c r="N62" s="1"/>
      <c r="O62" s="1"/>
      <c r="P62" s="1"/>
      <c r="Q62" s="1"/>
      <c r="R62" s="1"/>
      <c r="S62" s="1"/>
    </row>
    <row r="63" spans="1:22" ht="15.5" x14ac:dyDescent="0.35">
      <c r="A63" s="4" t="s">
        <v>7</v>
      </c>
      <c r="B63" s="4" t="s">
        <v>8</v>
      </c>
      <c r="C63" s="4" t="s">
        <v>9</v>
      </c>
      <c r="D63" s="4" t="s">
        <v>24</v>
      </c>
      <c r="E63" s="4" t="s">
        <v>10</v>
      </c>
      <c r="F63" s="4" t="s">
        <v>25</v>
      </c>
      <c r="G63" s="4" t="s">
        <v>26</v>
      </c>
      <c r="H63" s="4" t="s">
        <v>1</v>
      </c>
      <c r="I63" s="4" t="s">
        <v>11</v>
      </c>
      <c r="J63" s="4" t="s">
        <v>29</v>
      </c>
      <c r="K63" s="4" t="s">
        <v>12</v>
      </c>
      <c r="L63" s="4" t="s">
        <v>13</v>
      </c>
      <c r="M63" s="4" t="s">
        <v>14</v>
      </c>
      <c r="N63" s="4" t="s">
        <v>6</v>
      </c>
      <c r="O63" s="4" t="s">
        <v>15</v>
      </c>
      <c r="P63" s="4" t="s">
        <v>16</v>
      </c>
      <c r="Q63" s="4" t="s">
        <v>0</v>
      </c>
      <c r="R63" s="4" t="s">
        <v>17</v>
      </c>
      <c r="S63" s="4" t="s">
        <v>18</v>
      </c>
    </row>
    <row r="64" spans="1:22" x14ac:dyDescent="0.35">
      <c r="A64" s="2">
        <v>1</v>
      </c>
      <c r="B64" s="2" t="s">
        <v>22</v>
      </c>
      <c r="C64" s="2" t="s">
        <v>21</v>
      </c>
      <c r="D64" s="2" t="s">
        <v>2</v>
      </c>
      <c r="E64" s="2">
        <f>I61+100</f>
        <v>1319.1999999999998</v>
      </c>
      <c r="F64" s="2">
        <f>J61+40</f>
        <v>1183</v>
      </c>
      <c r="G64" s="11">
        <v>16</v>
      </c>
      <c r="H64" s="2">
        <v>2</v>
      </c>
      <c r="I64" s="2">
        <f t="shared" ref="I64:I71" si="10">E64*F64*G64*H64/304.8/304.8/304.8</f>
        <v>1.76360157328072</v>
      </c>
      <c r="J64" s="2">
        <f>I72*10%</f>
        <v>0.61078598931585437</v>
      </c>
      <c r="K64" s="2">
        <v>925</v>
      </c>
      <c r="L64" s="2">
        <v>190</v>
      </c>
      <c r="M64" s="6">
        <v>20</v>
      </c>
      <c r="N64" s="6">
        <v>50</v>
      </c>
      <c r="O64" s="6">
        <v>50</v>
      </c>
      <c r="P64" s="6">
        <v>30</v>
      </c>
      <c r="Q64" s="6"/>
      <c r="R64" s="7">
        <v>0.2</v>
      </c>
      <c r="S64" s="6"/>
    </row>
    <row r="65" spans="1:22" x14ac:dyDescent="0.35">
      <c r="A65" s="2">
        <v>2</v>
      </c>
      <c r="B65" s="2" t="s">
        <v>22</v>
      </c>
      <c r="C65" s="2" t="s">
        <v>21</v>
      </c>
      <c r="D65" s="2" t="s">
        <v>3</v>
      </c>
      <c r="E65" s="2">
        <f>I61+100</f>
        <v>1319.1999999999998</v>
      </c>
      <c r="F65" s="2">
        <f>K61</f>
        <v>1016</v>
      </c>
      <c r="G65" s="11">
        <v>16</v>
      </c>
      <c r="H65" s="2">
        <v>2</v>
      </c>
      <c r="I65" s="2">
        <f t="shared" si="10"/>
        <v>1.5146400663171691</v>
      </c>
      <c r="J65" s="2"/>
      <c r="K65" s="2"/>
      <c r="L65" s="2"/>
      <c r="M65" s="6"/>
      <c r="N65" s="6"/>
      <c r="O65" s="6"/>
      <c r="P65" s="6"/>
      <c r="Q65" s="6"/>
      <c r="R65" s="6"/>
      <c r="S65" s="6"/>
    </row>
    <row r="66" spans="1:22" x14ac:dyDescent="0.35">
      <c r="A66" s="2">
        <v>3</v>
      </c>
      <c r="B66" s="2" t="s">
        <v>22</v>
      </c>
      <c r="C66" s="2" t="s">
        <v>21</v>
      </c>
      <c r="D66" s="2" t="s">
        <v>4</v>
      </c>
      <c r="E66" s="2">
        <v>1143</v>
      </c>
      <c r="F66" s="2">
        <f>K61</f>
        <v>1016</v>
      </c>
      <c r="G66" s="11">
        <v>16</v>
      </c>
      <c r="H66" s="2">
        <v>2</v>
      </c>
      <c r="I66" s="2">
        <f t="shared" si="10"/>
        <v>1.3123359580052494</v>
      </c>
      <c r="J66" s="2"/>
      <c r="K66" s="2"/>
      <c r="L66" s="2"/>
      <c r="M66" s="6"/>
      <c r="N66" s="6"/>
      <c r="O66" s="6"/>
      <c r="P66" s="6"/>
      <c r="Q66" s="6"/>
      <c r="R66" s="6"/>
      <c r="S66" s="6"/>
    </row>
    <row r="67" spans="1:22" x14ac:dyDescent="0.35">
      <c r="A67" s="2">
        <v>4</v>
      </c>
      <c r="B67" s="2" t="s">
        <v>22</v>
      </c>
      <c r="C67" s="2" t="s">
        <v>21</v>
      </c>
      <c r="D67" s="2" t="s">
        <v>19</v>
      </c>
      <c r="E67" s="2">
        <f>J61+40</f>
        <v>1183</v>
      </c>
      <c r="F67" s="11">
        <v>75</v>
      </c>
      <c r="G67" s="11">
        <v>19</v>
      </c>
      <c r="H67" s="13">
        <v>2</v>
      </c>
      <c r="I67" s="2">
        <f t="shared" si="10"/>
        <v>0.11906516458483483</v>
      </c>
      <c r="J67" s="2"/>
      <c r="K67" s="2"/>
      <c r="L67" s="2"/>
      <c r="M67" s="6"/>
      <c r="N67" s="6"/>
      <c r="O67" s="6"/>
      <c r="P67" s="6"/>
      <c r="Q67" s="6"/>
      <c r="R67" s="6"/>
      <c r="S67" s="6"/>
    </row>
    <row r="68" spans="1:22" x14ac:dyDescent="0.35">
      <c r="A68" s="2">
        <v>5</v>
      </c>
      <c r="B68" s="2" t="s">
        <v>22</v>
      </c>
      <c r="C68" s="2" t="s">
        <v>21</v>
      </c>
      <c r="D68" s="2" t="s">
        <v>20</v>
      </c>
      <c r="E68" s="2">
        <f>J61+40</f>
        <v>1183</v>
      </c>
      <c r="F68" s="11">
        <v>100</v>
      </c>
      <c r="G68" s="11">
        <v>75</v>
      </c>
      <c r="H68" s="13">
        <v>2</v>
      </c>
      <c r="I68" s="2">
        <f t="shared" si="10"/>
        <v>0.62665876097281503</v>
      </c>
      <c r="J68" s="2"/>
      <c r="K68" s="2"/>
      <c r="L68" s="2"/>
      <c r="M68" s="6"/>
      <c r="N68" s="6"/>
      <c r="O68" s="6"/>
      <c r="P68" s="6"/>
      <c r="Q68" s="6"/>
      <c r="R68" s="6"/>
      <c r="S68" s="6"/>
    </row>
    <row r="69" spans="1:22" x14ac:dyDescent="0.35">
      <c r="A69" s="2">
        <v>6</v>
      </c>
      <c r="B69" s="2" t="s">
        <v>22</v>
      </c>
      <c r="C69" s="2" t="s">
        <v>21</v>
      </c>
      <c r="D69" s="2" t="s">
        <v>5</v>
      </c>
      <c r="E69" s="2">
        <v>1166</v>
      </c>
      <c r="F69" s="11">
        <v>75</v>
      </c>
      <c r="G69" s="11">
        <v>19</v>
      </c>
      <c r="H69" s="13">
        <v>4</v>
      </c>
      <c r="I69" s="2">
        <f t="shared" ref="I69:I70" si="11">E69*F69*G69*H69/304.8/304.8/304.8</f>
        <v>0.23470833796435744</v>
      </c>
      <c r="J69" s="2"/>
      <c r="K69" s="2"/>
      <c r="L69" s="2"/>
      <c r="M69" s="6"/>
      <c r="N69" s="6"/>
      <c r="O69" s="6"/>
      <c r="P69" s="6"/>
      <c r="Q69" s="6"/>
      <c r="R69" s="6"/>
      <c r="S69" s="6"/>
    </row>
    <row r="70" spans="1:22" x14ac:dyDescent="0.35">
      <c r="A70" s="2">
        <v>7</v>
      </c>
      <c r="B70" s="2" t="s">
        <v>22</v>
      </c>
      <c r="C70" s="2" t="s">
        <v>21</v>
      </c>
      <c r="D70" s="2" t="s">
        <v>47</v>
      </c>
      <c r="E70" s="2">
        <v>1016</v>
      </c>
      <c r="F70" s="11">
        <v>75</v>
      </c>
      <c r="G70" s="11">
        <v>19</v>
      </c>
      <c r="H70" s="13">
        <v>6</v>
      </c>
      <c r="I70" s="2">
        <f t="shared" si="11"/>
        <v>0.30677144687622709</v>
      </c>
      <c r="J70" s="2"/>
      <c r="K70" s="2"/>
      <c r="L70" s="2"/>
      <c r="M70" s="6"/>
      <c r="N70" s="6"/>
      <c r="O70" s="6"/>
      <c r="P70" s="6"/>
      <c r="Q70" s="6"/>
      <c r="R70" s="6"/>
      <c r="S70" s="6"/>
    </row>
    <row r="71" spans="1:22" x14ac:dyDescent="0.35">
      <c r="A71" s="2">
        <v>8</v>
      </c>
      <c r="B71" s="2" t="s">
        <v>22</v>
      </c>
      <c r="C71" s="2" t="s">
        <v>21</v>
      </c>
      <c r="D71" s="2" t="s">
        <v>48</v>
      </c>
      <c r="E71" s="2">
        <v>1143</v>
      </c>
      <c r="F71" s="11">
        <v>75</v>
      </c>
      <c r="G71" s="11">
        <v>19</v>
      </c>
      <c r="H71" s="13">
        <v>4</v>
      </c>
      <c r="I71" s="2">
        <f t="shared" si="10"/>
        <v>0.23007858515717031</v>
      </c>
      <c r="J71" s="2"/>
      <c r="K71" s="2"/>
      <c r="L71" s="2"/>
      <c r="M71" s="6"/>
      <c r="N71" s="6"/>
      <c r="O71" s="6"/>
      <c r="P71" s="6"/>
      <c r="Q71" s="6"/>
      <c r="R71" s="6"/>
      <c r="S71" s="6"/>
    </row>
    <row r="72" spans="1:22" ht="15.5" x14ac:dyDescent="0.35">
      <c r="A72" s="3"/>
      <c r="B72" s="3"/>
      <c r="C72" s="3"/>
      <c r="D72" s="3"/>
      <c r="E72" s="3"/>
      <c r="F72" s="3"/>
      <c r="G72" s="3"/>
      <c r="H72" s="3"/>
      <c r="I72" s="4">
        <f>SUM(I64:I71)</f>
        <v>6.1078598931585431</v>
      </c>
      <c r="J72" s="4">
        <f>J64+I72</f>
        <v>6.7186458824743971</v>
      </c>
      <c r="K72" s="4">
        <f>J72*K64</f>
        <v>6214.7474412888178</v>
      </c>
      <c r="L72" s="4">
        <f>J72*L64</f>
        <v>1276.5427176701355</v>
      </c>
      <c r="M72" s="4">
        <f>J72*M64</f>
        <v>134.37291764948793</v>
      </c>
      <c r="N72" s="4">
        <f>J72*N64</f>
        <v>335.93229412371983</v>
      </c>
      <c r="O72" s="4">
        <f>J72*O64</f>
        <v>335.93229412371983</v>
      </c>
      <c r="P72" s="4">
        <f>J72*P64</f>
        <v>201.55937647423193</v>
      </c>
      <c r="Q72" s="4">
        <f>SUM(K72:P72)</f>
        <v>8499.0870413301127</v>
      </c>
      <c r="R72" s="4">
        <f>Q72*R64</f>
        <v>1699.8174082660225</v>
      </c>
      <c r="S72" s="5">
        <f>Q72+R72</f>
        <v>10198.904449596135</v>
      </c>
      <c r="V72" t="s">
        <v>33</v>
      </c>
    </row>
    <row r="74" spans="1:22" x14ac:dyDescent="0.35">
      <c r="H74" s="10">
        <v>25.4</v>
      </c>
      <c r="I74" s="12">
        <v>38.5</v>
      </c>
      <c r="J74" s="12">
        <v>42.5</v>
      </c>
      <c r="K74" s="12">
        <v>35</v>
      </c>
    </row>
    <row r="75" spans="1:22" x14ac:dyDescent="0.35">
      <c r="I75">
        <f>I74*$H$16</f>
        <v>977.9</v>
      </c>
      <c r="J75">
        <f>J74*$H$16</f>
        <v>1079.5</v>
      </c>
      <c r="K75">
        <f>K74*$H$16</f>
        <v>889</v>
      </c>
    </row>
    <row r="76" spans="1:22" ht="18.5" x14ac:dyDescent="0.45">
      <c r="A76" s="1">
        <v>6</v>
      </c>
      <c r="B76" s="1"/>
      <c r="C76" s="1"/>
      <c r="D76" s="1"/>
      <c r="E76" s="1"/>
      <c r="F76" s="1"/>
      <c r="G76" s="1"/>
      <c r="H76" s="18" t="s">
        <v>37</v>
      </c>
      <c r="I76" s="19"/>
      <c r="J76" s="19"/>
      <c r="K76" s="19"/>
      <c r="L76" s="19"/>
      <c r="M76" s="20"/>
      <c r="N76" s="1"/>
      <c r="O76" s="1"/>
      <c r="P76" s="1"/>
      <c r="Q76" s="1"/>
      <c r="R76" s="1"/>
      <c r="S76" s="1"/>
    </row>
    <row r="77" spans="1:22" ht="15.5" x14ac:dyDescent="0.35">
      <c r="A77" s="4" t="s">
        <v>7</v>
      </c>
      <c r="B77" s="4" t="s">
        <v>8</v>
      </c>
      <c r="C77" s="4" t="s">
        <v>9</v>
      </c>
      <c r="D77" s="4" t="s">
        <v>24</v>
      </c>
      <c r="E77" s="4" t="s">
        <v>10</v>
      </c>
      <c r="F77" s="4" t="s">
        <v>25</v>
      </c>
      <c r="G77" s="4" t="s">
        <v>26</v>
      </c>
      <c r="H77" s="4" t="s">
        <v>1</v>
      </c>
      <c r="I77" s="4" t="s">
        <v>11</v>
      </c>
      <c r="J77" s="4" t="s">
        <v>29</v>
      </c>
      <c r="K77" s="4" t="s">
        <v>12</v>
      </c>
      <c r="L77" s="4" t="s">
        <v>13</v>
      </c>
      <c r="M77" s="4" t="s">
        <v>14</v>
      </c>
      <c r="N77" s="4" t="s">
        <v>6</v>
      </c>
      <c r="O77" s="4" t="s">
        <v>15</v>
      </c>
      <c r="P77" s="4" t="s">
        <v>16</v>
      </c>
      <c r="Q77" s="4" t="s">
        <v>0</v>
      </c>
      <c r="R77" s="4" t="s">
        <v>17</v>
      </c>
      <c r="S77" s="4" t="s">
        <v>18</v>
      </c>
    </row>
    <row r="78" spans="1:22" x14ac:dyDescent="0.35">
      <c r="A78" s="2">
        <v>1</v>
      </c>
      <c r="B78" s="2" t="s">
        <v>22</v>
      </c>
      <c r="C78" s="2" t="s">
        <v>21</v>
      </c>
      <c r="D78" s="2" t="s">
        <v>2</v>
      </c>
      <c r="E78" s="2">
        <f>I75+100</f>
        <v>1077.9000000000001</v>
      </c>
      <c r="F78" s="2">
        <f>J75+40</f>
        <v>1119.5</v>
      </c>
      <c r="G78" s="11">
        <v>16</v>
      </c>
      <c r="H78" s="2">
        <v>2</v>
      </c>
      <c r="I78" s="2">
        <f t="shared" ref="I78:I85" si="12">E78*F78*G78*H78/304.8/304.8/304.8</f>
        <v>1.3636648937777314</v>
      </c>
      <c r="J78" s="2">
        <f>I86*10%</f>
        <v>0.4931618333499499</v>
      </c>
      <c r="K78" s="2">
        <v>925</v>
      </c>
      <c r="L78" s="2">
        <v>190</v>
      </c>
      <c r="M78" s="6">
        <v>20</v>
      </c>
      <c r="N78" s="6">
        <v>50</v>
      </c>
      <c r="O78" s="6">
        <v>50</v>
      </c>
      <c r="P78" s="6">
        <v>30</v>
      </c>
      <c r="Q78" s="6"/>
      <c r="R78" s="7">
        <v>0.2</v>
      </c>
      <c r="S78" s="6"/>
    </row>
    <row r="79" spans="1:22" x14ac:dyDescent="0.35">
      <c r="A79" s="2">
        <v>2</v>
      </c>
      <c r="B79" s="2" t="s">
        <v>22</v>
      </c>
      <c r="C79" s="2" t="s">
        <v>21</v>
      </c>
      <c r="D79" s="2" t="s">
        <v>3</v>
      </c>
      <c r="E79" s="2">
        <f>I75+100</f>
        <v>1077.9000000000001</v>
      </c>
      <c r="F79" s="2">
        <f>K75</f>
        <v>889</v>
      </c>
      <c r="G79" s="11">
        <v>16</v>
      </c>
      <c r="H79" s="2">
        <v>2</v>
      </c>
      <c r="I79" s="2">
        <f t="shared" si="12"/>
        <v>1.0828924435626648</v>
      </c>
      <c r="J79" s="2"/>
      <c r="K79" s="2"/>
      <c r="L79" s="2"/>
      <c r="M79" s="6"/>
      <c r="N79" s="6"/>
      <c r="O79" s="6"/>
      <c r="P79" s="6"/>
      <c r="Q79" s="6"/>
      <c r="R79" s="6"/>
      <c r="S79" s="6"/>
    </row>
    <row r="80" spans="1:22" x14ac:dyDescent="0.35">
      <c r="A80" s="2">
        <v>3</v>
      </c>
      <c r="B80" s="2" t="s">
        <v>22</v>
      </c>
      <c r="C80" s="2" t="s">
        <v>21</v>
      </c>
      <c r="D80" s="2" t="s">
        <v>4</v>
      </c>
      <c r="E80" s="2">
        <v>1079.5</v>
      </c>
      <c r="F80" s="2">
        <f>K75</f>
        <v>889</v>
      </c>
      <c r="G80" s="11">
        <v>16</v>
      </c>
      <c r="H80" s="2">
        <v>2</v>
      </c>
      <c r="I80" s="2">
        <f t="shared" si="12"/>
        <v>1.0844998541848934</v>
      </c>
      <c r="J80" s="2"/>
      <c r="K80" s="2"/>
      <c r="L80" s="2"/>
      <c r="M80" s="6"/>
      <c r="N80" s="6"/>
      <c r="O80" s="6"/>
      <c r="P80" s="6"/>
      <c r="Q80" s="6"/>
      <c r="R80" s="6"/>
      <c r="S80" s="6"/>
    </row>
    <row r="81" spans="1:22" x14ac:dyDescent="0.35">
      <c r="A81" s="2">
        <v>4</v>
      </c>
      <c r="B81" s="2" t="s">
        <v>22</v>
      </c>
      <c r="C81" s="2" t="s">
        <v>21</v>
      </c>
      <c r="D81" s="2" t="s">
        <v>19</v>
      </c>
      <c r="E81" s="2">
        <f>J75+40</f>
        <v>1119.5</v>
      </c>
      <c r="F81" s="11">
        <v>75</v>
      </c>
      <c r="G81" s="11">
        <v>19</v>
      </c>
      <c r="H81" s="13">
        <v>2</v>
      </c>
      <c r="I81" s="2">
        <f t="shared" si="12"/>
        <v>0.11267409277491344</v>
      </c>
      <c r="J81" s="2"/>
      <c r="K81" s="2"/>
      <c r="L81" s="2"/>
      <c r="M81" s="6"/>
      <c r="N81" s="6"/>
      <c r="O81" s="6"/>
      <c r="P81" s="6"/>
      <c r="Q81" s="6"/>
      <c r="R81" s="6"/>
      <c r="S81" s="6"/>
    </row>
    <row r="82" spans="1:22" x14ac:dyDescent="0.35">
      <c r="A82" s="2">
        <v>5</v>
      </c>
      <c r="B82" s="2" t="s">
        <v>22</v>
      </c>
      <c r="C82" s="2" t="s">
        <v>21</v>
      </c>
      <c r="D82" s="2" t="s">
        <v>20</v>
      </c>
      <c r="E82" s="2">
        <f>J75+40</f>
        <v>1119.5</v>
      </c>
      <c r="F82" s="11">
        <v>100</v>
      </c>
      <c r="G82" s="11">
        <v>75</v>
      </c>
      <c r="H82" s="13">
        <v>2</v>
      </c>
      <c r="I82" s="2">
        <f t="shared" si="12"/>
        <v>0.59302154092059711</v>
      </c>
      <c r="J82" s="2"/>
      <c r="K82" s="2"/>
      <c r="L82" s="2"/>
      <c r="M82" s="6"/>
      <c r="N82" s="6"/>
      <c r="O82" s="6"/>
      <c r="P82" s="6"/>
      <c r="Q82" s="6"/>
      <c r="R82" s="6"/>
      <c r="S82" s="6"/>
    </row>
    <row r="83" spans="1:22" x14ac:dyDescent="0.35">
      <c r="A83" s="2">
        <v>6</v>
      </c>
      <c r="B83" s="2" t="s">
        <v>22</v>
      </c>
      <c r="C83" s="2" t="s">
        <v>21</v>
      </c>
      <c r="D83" s="2" t="s">
        <v>5</v>
      </c>
      <c r="E83" s="2">
        <v>1039</v>
      </c>
      <c r="F83" s="11">
        <v>75</v>
      </c>
      <c r="G83" s="11">
        <v>19</v>
      </c>
      <c r="H83" s="13">
        <v>4</v>
      </c>
      <c r="I83" s="2">
        <f t="shared" ref="I83:I84" si="13">E83*F83*G83*H83/304.8/304.8/304.8</f>
        <v>0.20914405072467185</v>
      </c>
      <c r="J83" s="2"/>
      <c r="K83" s="2"/>
      <c r="L83" s="2"/>
      <c r="M83" s="6"/>
      <c r="N83" s="6"/>
      <c r="O83" s="6"/>
      <c r="P83" s="6"/>
      <c r="Q83" s="6"/>
      <c r="R83" s="6"/>
      <c r="S83" s="6"/>
    </row>
    <row r="84" spans="1:22" x14ac:dyDescent="0.35">
      <c r="A84" s="2">
        <v>7</v>
      </c>
      <c r="B84" s="2" t="s">
        <v>22</v>
      </c>
      <c r="C84" s="2" t="s">
        <v>21</v>
      </c>
      <c r="D84" s="2" t="s">
        <v>47</v>
      </c>
      <c r="E84" s="2">
        <v>889</v>
      </c>
      <c r="F84" s="11">
        <v>75</v>
      </c>
      <c r="G84" s="11">
        <v>19</v>
      </c>
      <c r="H84" s="13">
        <v>6</v>
      </c>
      <c r="I84" s="2">
        <f t="shared" si="13"/>
        <v>0.26842501601669871</v>
      </c>
      <c r="J84" s="2"/>
      <c r="K84" s="2"/>
      <c r="L84" s="2"/>
      <c r="M84" s="6"/>
      <c r="N84" s="6"/>
      <c r="O84" s="6"/>
      <c r="P84" s="6"/>
      <c r="Q84" s="6"/>
      <c r="R84" s="6"/>
      <c r="S84" s="6"/>
    </row>
    <row r="85" spans="1:22" x14ac:dyDescent="0.35">
      <c r="A85" s="2">
        <v>8</v>
      </c>
      <c r="B85" s="2" t="s">
        <v>22</v>
      </c>
      <c r="C85" s="2" t="s">
        <v>21</v>
      </c>
      <c r="D85" s="2" t="s">
        <v>48</v>
      </c>
      <c r="E85" s="2">
        <v>1079.5</v>
      </c>
      <c r="F85" s="11">
        <v>75</v>
      </c>
      <c r="G85" s="11">
        <v>19</v>
      </c>
      <c r="H85" s="13">
        <v>4</v>
      </c>
      <c r="I85" s="2">
        <f t="shared" si="12"/>
        <v>0.21729644153732752</v>
      </c>
      <c r="J85" s="2"/>
      <c r="K85" s="2"/>
      <c r="L85" s="2"/>
      <c r="M85" s="6"/>
      <c r="N85" s="6"/>
      <c r="O85" s="6"/>
      <c r="P85" s="6"/>
      <c r="Q85" s="6"/>
      <c r="R85" s="6"/>
      <c r="S85" s="6"/>
    </row>
    <row r="86" spans="1:22" ht="15.5" x14ac:dyDescent="0.35">
      <c r="A86" s="3"/>
      <c r="B86" s="3"/>
      <c r="C86" s="3"/>
      <c r="D86" s="3"/>
      <c r="E86" s="3"/>
      <c r="F86" s="3"/>
      <c r="G86" s="3"/>
      <c r="H86" s="3"/>
      <c r="I86" s="4">
        <f>SUM(I78:I85)</f>
        <v>4.9316183334994985</v>
      </c>
      <c r="J86" s="4">
        <f>J78+I86</f>
        <v>5.4247801668494482</v>
      </c>
      <c r="K86" s="4">
        <f>J86*K78</f>
        <v>5017.9216543357397</v>
      </c>
      <c r="L86" s="4">
        <f>J86*L78</f>
        <v>1030.7082317013951</v>
      </c>
      <c r="M86" s="4">
        <f>J86*M78</f>
        <v>108.49560333698896</v>
      </c>
      <c r="N86" s="4">
        <f>J86*N78</f>
        <v>271.2390083424724</v>
      </c>
      <c r="O86" s="4">
        <f>J86*O78</f>
        <v>271.2390083424724</v>
      </c>
      <c r="P86" s="4">
        <f>J86*P78</f>
        <v>162.74340500548345</v>
      </c>
      <c r="Q86" s="4">
        <f>SUM(K86:P86)</f>
        <v>6862.3469110645528</v>
      </c>
      <c r="R86" s="4">
        <f>Q86*R78</f>
        <v>1372.4693822129107</v>
      </c>
      <c r="S86" s="5">
        <f>Q86+R86</f>
        <v>8234.816293277463</v>
      </c>
      <c r="V86" t="s">
        <v>33</v>
      </c>
    </row>
    <row r="88" spans="1:22" x14ac:dyDescent="0.35">
      <c r="H88" s="10">
        <v>25.4</v>
      </c>
      <c r="I88" s="12">
        <v>38</v>
      </c>
      <c r="J88" s="12">
        <v>30</v>
      </c>
      <c r="K88" s="12">
        <v>20</v>
      </c>
    </row>
    <row r="89" spans="1:22" x14ac:dyDescent="0.35">
      <c r="I89">
        <f>I88*$H$16</f>
        <v>965.19999999999993</v>
      </c>
      <c r="J89">
        <f>J88*$H$16</f>
        <v>762</v>
      </c>
      <c r="K89">
        <f>K88*$H$16</f>
        <v>508</v>
      </c>
    </row>
    <row r="90" spans="1:22" ht="18.5" x14ac:dyDescent="0.45">
      <c r="A90" s="1">
        <v>7</v>
      </c>
      <c r="B90" s="1"/>
      <c r="C90" s="1"/>
      <c r="D90" s="1"/>
      <c r="E90" s="1"/>
      <c r="F90" s="1"/>
      <c r="G90" s="1"/>
      <c r="H90" s="18" t="s">
        <v>38</v>
      </c>
      <c r="I90" s="19"/>
      <c r="J90" s="19"/>
      <c r="K90" s="19"/>
      <c r="L90" s="19"/>
      <c r="M90" s="20"/>
      <c r="N90" s="1"/>
      <c r="O90" s="1"/>
      <c r="P90" s="1"/>
      <c r="Q90" s="1"/>
      <c r="R90" s="1"/>
      <c r="S90" s="1"/>
    </row>
    <row r="91" spans="1:22" ht="15.5" x14ac:dyDescent="0.35">
      <c r="A91" s="4" t="s">
        <v>7</v>
      </c>
      <c r="B91" s="4" t="s">
        <v>8</v>
      </c>
      <c r="C91" s="4" t="s">
        <v>9</v>
      </c>
      <c r="D91" s="4" t="s">
        <v>24</v>
      </c>
      <c r="E91" s="4" t="s">
        <v>10</v>
      </c>
      <c r="F91" s="4" t="s">
        <v>25</v>
      </c>
      <c r="G91" s="4" t="s">
        <v>26</v>
      </c>
      <c r="H91" s="4" t="s">
        <v>1</v>
      </c>
      <c r="I91" s="4" t="s">
        <v>11</v>
      </c>
      <c r="J91" s="4" t="s">
        <v>29</v>
      </c>
      <c r="K91" s="4" t="s">
        <v>12</v>
      </c>
      <c r="L91" s="4" t="s">
        <v>13</v>
      </c>
      <c r="M91" s="4" t="s">
        <v>14</v>
      </c>
      <c r="N91" s="4" t="s">
        <v>6</v>
      </c>
      <c r="O91" s="4" t="s">
        <v>15</v>
      </c>
      <c r="P91" s="4" t="s">
        <v>16</v>
      </c>
      <c r="Q91" s="4" t="s">
        <v>0</v>
      </c>
      <c r="R91" s="4" t="s">
        <v>17</v>
      </c>
      <c r="S91" s="4" t="s">
        <v>18</v>
      </c>
    </row>
    <row r="92" spans="1:22" x14ac:dyDescent="0.35">
      <c r="A92" s="2">
        <v>1</v>
      </c>
      <c r="B92" s="2" t="s">
        <v>22</v>
      </c>
      <c r="C92" s="2" t="s">
        <v>21</v>
      </c>
      <c r="D92" s="2" t="s">
        <v>2</v>
      </c>
      <c r="E92" s="2">
        <f>I89+100</f>
        <v>1065.1999999999998</v>
      </c>
      <c r="F92" s="2">
        <f>J89+40</f>
        <v>802</v>
      </c>
      <c r="G92" s="11">
        <v>16</v>
      </c>
      <c r="H92" s="2">
        <v>2</v>
      </c>
      <c r="I92" s="2">
        <f t="shared" ref="I92:I99" si="14">E92*F92*G92*H92/304.8/304.8/304.8</f>
        <v>0.96540738429974937</v>
      </c>
      <c r="J92" s="2">
        <f>I100*10%</f>
        <v>0.2959134440615046</v>
      </c>
      <c r="K92" s="2">
        <v>925</v>
      </c>
      <c r="L92" s="2">
        <v>190</v>
      </c>
      <c r="M92" s="6">
        <v>20</v>
      </c>
      <c r="N92" s="6">
        <v>50</v>
      </c>
      <c r="O92" s="6">
        <v>50</v>
      </c>
      <c r="P92" s="6">
        <v>30</v>
      </c>
      <c r="Q92" s="6"/>
      <c r="R92" s="7">
        <v>0.2</v>
      </c>
      <c r="S92" s="6"/>
    </row>
    <row r="93" spans="1:22" x14ac:dyDescent="0.35">
      <c r="A93" s="2">
        <v>2</v>
      </c>
      <c r="B93" s="2" t="s">
        <v>22</v>
      </c>
      <c r="C93" s="2" t="s">
        <v>21</v>
      </c>
      <c r="D93" s="2" t="s">
        <v>3</v>
      </c>
      <c r="E93" s="2">
        <f>I89+100</f>
        <v>1065.1999999999998</v>
      </c>
      <c r="F93" s="2">
        <f>K89</f>
        <v>508</v>
      </c>
      <c r="G93" s="11">
        <v>16</v>
      </c>
      <c r="H93" s="2">
        <v>2</v>
      </c>
      <c r="I93" s="2">
        <f t="shared" si="14"/>
        <v>0.61150492671355694</v>
      </c>
      <c r="J93" s="2"/>
      <c r="K93" s="2"/>
      <c r="L93" s="2"/>
      <c r="M93" s="6"/>
      <c r="N93" s="6"/>
      <c r="O93" s="6"/>
      <c r="P93" s="6"/>
      <c r="Q93" s="6"/>
      <c r="R93" s="6"/>
      <c r="S93" s="6"/>
    </row>
    <row r="94" spans="1:22" x14ac:dyDescent="0.35">
      <c r="A94" s="2">
        <v>3</v>
      </c>
      <c r="B94" s="2" t="s">
        <v>22</v>
      </c>
      <c r="C94" s="2" t="s">
        <v>21</v>
      </c>
      <c r="D94" s="2" t="s">
        <v>4</v>
      </c>
      <c r="E94" s="2">
        <v>762</v>
      </c>
      <c r="F94" s="2">
        <f>K89</f>
        <v>508</v>
      </c>
      <c r="G94" s="11">
        <v>16</v>
      </c>
      <c r="H94" s="2">
        <v>2</v>
      </c>
      <c r="I94" s="2">
        <f t="shared" si="14"/>
        <v>0.43744531933508302</v>
      </c>
      <c r="J94" s="2"/>
      <c r="K94" s="2"/>
      <c r="L94" s="2"/>
      <c r="M94" s="6"/>
      <c r="N94" s="6"/>
      <c r="O94" s="6"/>
      <c r="P94" s="6"/>
      <c r="Q94" s="6"/>
      <c r="R94" s="6"/>
      <c r="S94" s="6"/>
    </row>
    <row r="95" spans="1:22" x14ac:dyDescent="0.35">
      <c r="A95" s="2">
        <v>4</v>
      </c>
      <c r="B95" s="2" t="s">
        <v>22</v>
      </c>
      <c r="C95" s="2" t="s">
        <v>21</v>
      </c>
      <c r="D95" s="2" t="s">
        <v>19</v>
      </c>
      <c r="E95" s="2">
        <f>J89+40</f>
        <v>802</v>
      </c>
      <c r="F95" s="11">
        <v>75</v>
      </c>
      <c r="G95" s="11">
        <v>19</v>
      </c>
      <c r="H95" s="13">
        <v>2</v>
      </c>
      <c r="I95" s="2">
        <f t="shared" si="14"/>
        <v>8.0718733725306455E-2</v>
      </c>
      <c r="J95" s="2"/>
      <c r="K95" s="2"/>
      <c r="L95" s="2"/>
      <c r="M95" s="6"/>
      <c r="N95" s="6"/>
      <c r="O95" s="6"/>
      <c r="P95" s="6"/>
      <c r="Q95" s="6"/>
      <c r="R95" s="6"/>
      <c r="S95" s="6"/>
    </row>
    <row r="96" spans="1:22" x14ac:dyDescent="0.35">
      <c r="A96" s="2">
        <v>5</v>
      </c>
      <c r="B96" s="2" t="s">
        <v>22</v>
      </c>
      <c r="C96" s="2" t="s">
        <v>21</v>
      </c>
      <c r="D96" s="2" t="s">
        <v>20</v>
      </c>
      <c r="E96" s="2">
        <f>J89+40</f>
        <v>802</v>
      </c>
      <c r="F96" s="11">
        <v>100</v>
      </c>
      <c r="G96" s="11">
        <v>75</v>
      </c>
      <c r="H96" s="13">
        <v>2</v>
      </c>
      <c r="I96" s="2">
        <f t="shared" si="14"/>
        <v>0.42483544065950773</v>
      </c>
      <c r="J96" s="2"/>
      <c r="K96" s="2"/>
      <c r="L96" s="2"/>
      <c r="M96" s="6"/>
      <c r="N96" s="6"/>
      <c r="O96" s="6"/>
      <c r="P96" s="6"/>
      <c r="Q96" s="6"/>
      <c r="R96" s="6"/>
      <c r="S96" s="6"/>
    </row>
    <row r="97" spans="1:22" x14ac:dyDescent="0.35">
      <c r="A97" s="2">
        <v>6</v>
      </c>
      <c r="B97" s="2" t="s">
        <v>22</v>
      </c>
      <c r="C97" s="2" t="s">
        <v>21</v>
      </c>
      <c r="D97" s="2" t="s">
        <v>5</v>
      </c>
      <c r="E97" s="2">
        <v>658</v>
      </c>
      <c r="F97" s="11">
        <v>75</v>
      </c>
      <c r="G97" s="11">
        <v>19</v>
      </c>
      <c r="H97" s="13">
        <v>4</v>
      </c>
      <c r="I97" s="2">
        <f t="shared" ref="I97:I98" si="15">E97*F97*G97*H97/304.8/304.8/304.8</f>
        <v>0.13245118900561509</v>
      </c>
      <c r="J97" s="2"/>
      <c r="K97" s="2"/>
      <c r="L97" s="2"/>
      <c r="M97" s="6"/>
      <c r="N97" s="6"/>
      <c r="O97" s="6"/>
      <c r="P97" s="6"/>
      <c r="Q97" s="6"/>
      <c r="R97" s="6"/>
      <c r="S97" s="6"/>
    </row>
    <row r="98" spans="1:22" x14ac:dyDescent="0.35">
      <c r="A98" s="2">
        <v>7</v>
      </c>
      <c r="B98" s="2" t="s">
        <v>22</v>
      </c>
      <c r="C98" s="2" t="s">
        <v>21</v>
      </c>
      <c r="D98" s="2" t="s">
        <v>47</v>
      </c>
      <c r="E98" s="2">
        <v>508</v>
      </c>
      <c r="F98" s="11">
        <v>75</v>
      </c>
      <c r="G98" s="11">
        <v>19</v>
      </c>
      <c r="H98" s="13">
        <v>6</v>
      </c>
      <c r="I98" s="2">
        <f t="shared" si="15"/>
        <v>0.15338572343811355</v>
      </c>
      <c r="J98" s="2"/>
      <c r="K98" s="2"/>
      <c r="L98" s="2"/>
      <c r="M98" s="6"/>
      <c r="N98" s="6"/>
      <c r="O98" s="6"/>
      <c r="P98" s="6"/>
      <c r="Q98" s="6"/>
      <c r="R98" s="6"/>
      <c r="S98" s="6"/>
    </row>
    <row r="99" spans="1:22" x14ac:dyDescent="0.35">
      <c r="A99" s="2">
        <v>8</v>
      </c>
      <c r="B99" s="2" t="s">
        <v>22</v>
      </c>
      <c r="C99" s="2" t="s">
        <v>21</v>
      </c>
      <c r="D99" s="2" t="s">
        <v>48</v>
      </c>
      <c r="E99" s="2">
        <v>762</v>
      </c>
      <c r="F99" s="11">
        <v>75</v>
      </c>
      <c r="G99" s="11">
        <v>19</v>
      </c>
      <c r="H99" s="13">
        <v>4</v>
      </c>
      <c r="I99" s="2">
        <f t="shared" si="14"/>
        <v>0.15338572343811355</v>
      </c>
      <c r="J99" s="2"/>
      <c r="K99" s="2"/>
      <c r="L99" s="2"/>
      <c r="M99" s="6"/>
      <c r="N99" s="6"/>
      <c r="O99" s="6"/>
      <c r="P99" s="6"/>
      <c r="Q99" s="6"/>
      <c r="R99" s="6"/>
      <c r="S99" s="6"/>
    </row>
    <row r="100" spans="1:22" ht="15.5" x14ac:dyDescent="0.35">
      <c r="A100" s="3"/>
      <c r="B100" s="3"/>
      <c r="C100" s="3"/>
      <c r="D100" s="3"/>
      <c r="E100" s="3"/>
      <c r="F100" s="3"/>
      <c r="G100" s="3"/>
      <c r="H100" s="3"/>
      <c r="I100" s="4">
        <f>SUM(I92:I99)</f>
        <v>2.9591344406150459</v>
      </c>
      <c r="J100" s="4">
        <f>J92+I100</f>
        <v>3.2550478846765505</v>
      </c>
      <c r="K100" s="4">
        <f>J100*K92</f>
        <v>3010.9192933258091</v>
      </c>
      <c r="L100" s="4">
        <f>J100*L92</f>
        <v>618.45909808854458</v>
      </c>
      <c r="M100" s="4">
        <f>J100*M92</f>
        <v>65.100957693531015</v>
      </c>
      <c r="N100" s="4">
        <f>J100*N92</f>
        <v>162.75239423382752</v>
      </c>
      <c r="O100" s="4">
        <f>J100*O92</f>
        <v>162.75239423382752</v>
      </c>
      <c r="P100" s="4">
        <f>J100*P92</f>
        <v>97.651436540296515</v>
      </c>
      <c r="Q100" s="4">
        <f>SUM(K100:P100)</f>
        <v>4117.6355741158368</v>
      </c>
      <c r="R100" s="4">
        <f>Q100*R92</f>
        <v>823.52711482316738</v>
      </c>
      <c r="S100" s="5">
        <f>Q100+R100</f>
        <v>4941.1626889390045</v>
      </c>
      <c r="V100" t="s">
        <v>33</v>
      </c>
    </row>
    <row r="102" spans="1:22" x14ac:dyDescent="0.35">
      <c r="H102" s="10">
        <v>25.4</v>
      </c>
      <c r="I102" s="12">
        <v>38</v>
      </c>
      <c r="J102" s="12">
        <v>35</v>
      </c>
      <c r="K102" s="12">
        <v>24</v>
      </c>
    </row>
    <row r="103" spans="1:22" x14ac:dyDescent="0.35">
      <c r="I103">
        <f>I102*$H$16</f>
        <v>965.19999999999993</v>
      </c>
      <c r="J103">
        <f>J102*$H$16</f>
        <v>889</v>
      </c>
      <c r="K103">
        <f>K102*$H$16</f>
        <v>609.59999999999991</v>
      </c>
    </row>
    <row r="104" spans="1:22" ht="18.5" x14ac:dyDescent="0.45">
      <c r="A104" s="1">
        <v>8</v>
      </c>
      <c r="B104" s="1"/>
      <c r="C104" s="1"/>
      <c r="D104" s="1"/>
      <c r="E104" s="1"/>
      <c r="F104" s="1"/>
      <c r="G104" s="1"/>
      <c r="H104" s="18" t="s">
        <v>39</v>
      </c>
      <c r="I104" s="19"/>
      <c r="J104" s="19"/>
      <c r="K104" s="19"/>
      <c r="L104" s="19"/>
      <c r="M104" s="20"/>
      <c r="N104" s="1"/>
      <c r="O104" s="1"/>
      <c r="P104" s="1"/>
      <c r="Q104" s="1"/>
      <c r="R104" s="1"/>
      <c r="S104" s="1"/>
    </row>
    <row r="105" spans="1:22" ht="15.5" x14ac:dyDescent="0.35">
      <c r="A105" s="4" t="s">
        <v>7</v>
      </c>
      <c r="B105" s="4" t="s">
        <v>8</v>
      </c>
      <c r="C105" s="4" t="s">
        <v>9</v>
      </c>
      <c r="D105" s="4" t="s">
        <v>24</v>
      </c>
      <c r="E105" s="4" t="s">
        <v>10</v>
      </c>
      <c r="F105" s="4" t="s">
        <v>25</v>
      </c>
      <c r="G105" s="4" t="s">
        <v>26</v>
      </c>
      <c r="H105" s="4" t="s">
        <v>1</v>
      </c>
      <c r="I105" s="4" t="s">
        <v>11</v>
      </c>
      <c r="J105" s="4" t="s">
        <v>29</v>
      </c>
      <c r="K105" s="4" t="s">
        <v>12</v>
      </c>
      <c r="L105" s="4" t="s">
        <v>13</v>
      </c>
      <c r="M105" s="4" t="s">
        <v>14</v>
      </c>
      <c r="N105" s="4" t="s">
        <v>6</v>
      </c>
      <c r="O105" s="4" t="s">
        <v>15</v>
      </c>
      <c r="P105" s="4" t="s">
        <v>16</v>
      </c>
      <c r="Q105" s="4" t="s">
        <v>0</v>
      </c>
      <c r="R105" s="4" t="s">
        <v>17</v>
      </c>
      <c r="S105" s="4" t="s">
        <v>18</v>
      </c>
    </row>
    <row r="106" spans="1:22" x14ac:dyDescent="0.35">
      <c r="A106" s="2">
        <v>1</v>
      </c>
      <c r="B106" s="2" t="s">
        <v>22</v>
      </c>
      <c r="C106" s="2" t="s">
        <v>21</v>
      </c>
      <c r="D106" s="2" t="s">
        <v>2</v>
      </c>
      <c r="E106" s="2">
        <f>I103+100</f>
        <v>1065.1999999999998</v>
      </c>
      <c r="F106" s="2">
        <f>J103+40</f>
        <v>929</v>
      </c>
      <c r="G106" s="11">
        <v>16</v>
      </c>
      <c r="H106" s="2">
        <v>2</v>
      </c>
      <c r="I106" s="2">
        <f t="shared" ref="I106:I113" si="16">E106*F106*G106*H106/304.8/304.8/304.8</f>
        <v>1.1182836159781386</v>
      </c>
      <c r="J106" s="2">
        <f>I114*10%</f>
        <v>0.35660392308135141</v>
      </c>
      <c r="K106" s="2">
        <v>925</v>
      </c>
      <c r="L106" s="2">
        <v>190</v>
      </c>
      <c r="M106" s="6">
        <v>20</v>
      </c>
      <c r="N106" s="6">
        <v>50</v>
      </c>
      <c r="O106" s="6">
        <v>50</v>
      </c>
      <c r="P106" s="6">
        <v>30</v>
      </c>
      <c r="Q106" s="6"/>
      <c r="R106" s="7">
        <v>0.2</v>
      </c>
      <c r="S106" s="6"/>
    </row>
    <row r="107" spans="1:22" x14ac:dyDescent="0.35">
      <c r="A107" s="2">
        <v>2</v>
      </c>
      <c r="B107" s="2" t="s">
        <v>22</v>
      </c>
      <c r="C107" s="2" t="s">
        <v>21</v>
      </c>
      <c r="D107" s="2" t="s">
        <v>3</v>
      </c>
      <c r="E107" s="2">
        <f>I103+100</f>
        <v>1065.1999999999998</v>
      </c>
      <c r="F107" s="2">
        <f>K103</f>
        <v>609.59999999999991</v>
      </c>
      <c r="G107" s="11">
        <v>16</v>
      </c>
      <c r="H107" s="2">
        <v>2</v>
      </c>
      <c r="I107" s="2">
        <f t="shared" si="16"/>
        <v>0.73380591205626822</v>
      </c>
      <c r="J107" s="2"/>
      <c r="K107" s="2"/>
      <c r="L107" s="2"/>
      <c r="M107" s="6"/>
      <c r="N107" s="6"/>
      <c r="O107" s="6"/>
      <c r="P107" s="6"/>
      <c r="Q107" s="6"/>
      <c r="R107" s="6"/>
      <c r="S107" s="6"/>
    </row>
    <row r="108" spans="1:22" x14ac:dyDescent="0.35">
      <c r="A108" s="2">
        <v>3</v>
      </c>
      <c r="B108" s="2" t="s">
        <v>22</v>
      </c>
      <c r="C108" s="2" t="s">
        <v>21</v>
      </c>
      <c r="D108" s="2" t="s">
        <v>4</v>
      </c>
      <c r="E108" s="2">
        <v>889</v>
      </c>
      <c r="F108" s="2">
        <f>K103</f>
        <v>609.59999999999991</v>
      </c>
      <c r="G108" s="11">
        <v>16</v>
      </c>
      <c r="H108" s="2">
        <v>2</v>
      </c>
      <c r="I108" s="2">
        <f t="shared" si="16"/>
        <v>0.61242344706911611</v>
      </c>
      <c r="J108" s="2"/>
      <c r="K108" s="2"/>
      <c r="L108" s="2"/>
      <c r="M108" s="6"/>
      <c r="N108" s="6"/>
      <c r="O108" s="6"/>
      <c r="P108" s="6"/>
      <c r="Q108" s="6"/>
      <c r="R108" s="6"/>
      <c r="S108" s="6"/>
    </row>
    <row r="109" spans="1:22" x14ac:dyDescent="0.35">
      <c r="A109" s="2">
        <v>4</v>
      </c>
      <c r="B109" s="2" t="s">
        <v>22</v>
      </c>
      <c r="C109" s="2" t="s">
        <v>21</v>
      </c>
      <c r="D109" s="2" t="s">
        <v>19</v>
      </c>
      <c r="E109" s="2">
        <f>J103+40</f>
        <v>929</v>
      </c>
      <c r="F109" s="11">
        <v>75</v>
      </c>
      <c r="G109" s="11">
        <v>19</v>
      </c>
      <c r="H109" s="13">
        <v>2</v>
      </c>
      <c r="I109" s="2">
        <f t="shared" si="16"/>
        <v>9.3500877345149253E-2</v>
      </c>
      <c r="J109" s="2"/>
      <c r="K109" s="2"/>
      <c r="L109" s="2"/>
      <c r="M109" s="6"/>
      <c r="N109" s="6"/>
      <c r="O109" s="6"/>
      <c r="P109" s="6"/>
      <c r="Q109" s="6"/>
      <c r="R109" s="6"/>
      <c r="S109" s="6"/>
    </row>
    <row r="110" spans="1:22" x14ac:dyDescent="0.35">
      <c r="A110" s="2">
        <v>5</v>
      </c>
      <c r="B110" s="2" t="s">
        <v>22</v>
      </c>
      <c r="C110" s="2" t="s">
        <v>21</v>
      </c>
      <c r="D110" s="2" t="s">
        <v>20</v>
      </c>
      <c r="E110" s="2">
        <f>J103+40</f>
        <v>929</v>
      </c>
      <c r="F110" s="11">
        <v>100</v>
      </c>
      <c r="G110" s="11">
        <v>75</v>
      </c>
      <c r="H110" s="13">
        <v>2</v>
      </c>
      <c r="I110" s="2">
        <f t="shared" si="16"/>
        <v>0.49210988076394346</v>
      </c>
      <c r="J110" s="2"/>
      <c r="K110" s="2"/>
      <c r="L110" s="2"/>
      <c r="M110" s="6"/>
      <c r="N110" s="6"/>
      <c r="O110" s="6"/>
      <c r="P110" s="6"/>
      <c r="Q110" s="6"/>
      <c r="R110" s="6"/>
      <c r="S110" s="6"/>
    </row>
    <row r="111" spans="1:22" x14ac:dyDescent="0.35">
      <c r="A111" s="2">
        <v>6</v>
      </c>
      <c r="B111" s="2" t="s">
        <v>22</v>
      </c>
      <c r="C111" s="2" t="s">
        <v>21</v>
      </c>
      <c r="D111" s="2" t="s">
        <v>5</v>
      </c>
      <c r="E111" s="2">
        <v>759.6</v>
      </c>
      <c r="F111" s="11">
        <v>75</v>
      </c>
      <c r="G111" s="11">
        <v>19</v>
      </c>
      <c r="H111" s="13">
        <v>4</v>
      </c>
      <c r="I111" s="2">
        <f t="shared" ref="I111:I112" si="17">E111*F111*G111*H111/304.8/304.8/304.8</f>
        <v>0.15290261879736358</v>
      </c>
      <c r="J111" s="2"/>
      <c r="K111" s="2"/>
      <c r="L111" s="2"/>
      <c r="M111" s="6"/>
      <c r="N111" s="6"/>
      <c r="O111" s="6"/>
      <c r="P111" s="6"/>
      <c r="Q111" s="6"/>
      <c r="R111" s="6"/>
      <c r="S111" s="6"/>
    </row>
    <row r="112" spans="1:22" x14ac:dyDescent="0.35">
      <c r="A112" s="2">
        <v>7</v>
      </c>
      <c r="B112" s="2" t="s">
        <v>22</v>
      </c>
      <c r="C112" s="2" t="s">
        <v>21</v>
      </c>
      <c r="D112" s="2" t="s">
        <v>47</v>
      </c>
      <c r="E112" s="2">
        <v>609.6</v>
      </c>
      <c r="F112" s="11">
        <v>75</v>
      </c>
      <c r="G112" s="11">
        <v>19</v>
      </c>
      <c r="H112" s="13">
        <v>6</v>
      </c>
      <c r="I112" s="2">
        <f t="shared" si="17"/>
        <v>0.18406286812573625</v>
      </c>
      <c r="J112" s="2"/>
      <c r="K112" s="2"/>
      <c r="L112" s="2"/>
      <c r="M112" s="6"/>
      <c r="N112" s="6"/>
      <c r="O112" s="6"/>
      <c r="P112" s="6"/>
      <c r="Q112" s="6"/>
      <c r="R112" s="6"/>
      <c r="S112" s="6"/>
    </row>
    <row r="113" spans="1:22" x14ac:dyDescent="0.35">
      <c r="A113" s="2">
        <v>8</v>
      </c>
      <c r="B113" s="2" t="s">
        <v>22</v>
      </c>
      <c r="C113" s="2" t="s">
        <v>21</v>
      </c>
      <c r="D113" s="2" t="s">
        <v>48</v>
      </c>
      <c r="E113" s="2">
        <v>889</v>
      </c>
      <c r="F113" s="11">
        <v>75</v>
      </c>
      <c r="G113" s="11">
        <v>19</v>
      </c>
      <c r="H113" s="13">
        <v>4</v>
      </c>
      <c r="I113" s="2">
        <f t="shared" si="16"/>
        <v>0.17895001067779912</v>
      </c>
      <c r="J113" s="2"/>
      <c r="K113" s="2"/>
      <c r="L113" s="2"/>
      <c r="M113" s="6"/>
      <c r="N113" s="6"/>
      <c r="O113" s="6"/>
      <c r="P113" s="6"/>
      <c r="Q113" s="6"/>
      <c r="R113" s="6"/>
      <c r="S113" s="6"/>
    </row>
    <row r="114" spans="1:22" ht="15.5" x14ac:dyDescent="0.35">
      <c r="A114" s="3"/>
      <c r="B114" s="3"/>
      <c r="C114" s="3"/>
      <c r="D114" s="3"/>
      <c r="E114" s="3"/>
      <c r="F114" s="3"/>
      <c r="G114" s="3"/>
      <c r="H114" s="3"/>
      <c r="I114" s="4">
        <f>SUM(I106:I113)</f>
        <v>3.566039230813514</v>
      </c>
      <c r="J114" s="4">
        <f>J106+I114</f>
        <v>3.9226431538948656</v>
      </c>
      <c r="K114" s="4">
        <f>J114*K106</f>
        <v>3628.4449173527505</v>
      </c>
      <c r="L114" s="4">
        <f>J114*L106</f>
        <v>745.30219924002449</v>
      </c>
      <c r="M114" s="4">
        <f>J114*M106</f>
        <v>78.452863077897319</v>
      </c>
      <c r="N114" s="4">
        <f>J114*N106</f>
        <v>196.13215769474328</v>
      </c>
      <c r="O114" s="4">
        <f>J114*O106</f>
        <v>196.13215769474328</v>
      </c>
      <c r="P114" s="4">
        <f>J114*P106</f>
        <v>117.67929461684597</v>
      </c>
      <c r="Q114" s="4">
        <f>SUM(K114:P114)</f>
        <v>4962.1435896770045</v>
      </c>
      <c r="R114" s="4">
        <f>Q114*R106</f>
        <v>992.42871793540098</v>
      </c>
      <c r="S114" s="5">
        <f>Q114+R114</f>
        <v>5954.572307612405</v>
      </c>
      <c r="V114" t="s">
        <v>33</v>
      </c>
    </row>
    <row r="116" spans="1:22" x14ac:dyDescent="0.35">
      <c r="H116" s="10">
        <v>25.4</v>
      </c>
      <c r="I116" s="12">
        <v>38</v>
      </c>
      <c r="J116" s="12">
        <v>35</v>
      </c>
      <c r="K116" s="12">
        <v>35</v>
      </c>
    </row>
    <row r="117" spans="1:22" x14ac:dyDescent="0.35">
      <c r="I117">
        <f>I116*$H$16</f>
        <v>965.19999999999993</v>
      </c>
      <c r="J117">
        <f>J116*$H$16</f>
        <v>889</v>
      </c>
      <c r="K117">
        <f>K116*$H$16</f>
        <v>889</v>
      </c>
    </row>
    <row r="118" spans="1:22" ht="18.5" x14ac:dyDescent="0.45">
      <c r="A118" s="1">
        <v>9</v>
      </c>
      <c r="B118" s="1"/>
      <c r="C118" s="1"/>
      <c r="D118" s="1"/>
      <c r="E118" s="1"/>
      <c r="F118" s="1"/>
      <c r="G118" s="1"/>
      <c r="H118" s="18" t="s">
        <v>40</v>
      </c>
      <c r="I118" s="19"/>
      <c r="J118" s="19"/>
      <c r="K118" s="19"/>
      <c r="L118" s="19"/>
      <c r="M118" s="20"/>
      <c r="N118" s="1"/>
      <c r="O118" s="1"/>
      <c r="P118" s="1"/>
      <c r="Q118" s="1"/>
      <c r="R118" s="1"/>
      <c r="S118" s="1"/>
    </row>
    <row r="119" spans="1:22" ht="15.5" x14ac:dyDescent="0.35">
      <c r="A119" s="4" t="s">
        <v>7</v>
      </c>
      <c r="B119" s="4" t="s">
        <v>8</v>
      </c>
      <c r="C119" s="4" t="s">
        <v>9</v>
      </c>
      <c r="D119" s="4" t="s">
        <v>24</v>
      </c>
      <c r="E119" s="4" t="s">
        <v>10</v>
      </c>
      <c r="F119" s="4" t="s">
        <v>25</v>
      </c>
      <c r="G119" s="4" t="s">
        <v>26</v>
      </c>
      <c r="H119" s="4" t="s">
        <v>1</v>
      </c>
      <c r="I119" s="4" t="s">
        <v>11</v>
      </c>
      <c r="J119" s="4" t="s">
        <v>29</v>
      </c>
      <c r="K119" s="4" t="s">
        <v>12</v>
      </c>
      <c r="L119" s="4" t="s">
        <v>13</v>
      </c>
      <c r="M119" s="4" t="s">
        <v>14</v>
      </c>
      <c r="N119" s="4" t="s">
        <v>6</v>
      </c>
      <c r="O119" s="4" t="s">
        <v>15</v>
      </c>
      <c r="P119" s="4" t="s">
        <v>16</v>
      </c>
      <c r="Q119" s="4" t="s">
        <v>0</v>
      </c>
      <c r="R119" s="4" t="s">
        <v>17</v>
      </c>
      <c r="S119" s="4" t="s">
        <v>18</v>
      </c>
    </row>
    <row r="120" spans="1:22" x14ac:dyDescent="0.35">
      <c r="A120" s="2">
        <v>1</v>
      </c>
      <c r="B120" s="2" t="s">
        <v>22</v>
      </c>
      <c r="C120" s="2" t="s">
        <v>21</v>
      </c>
      <c r="D120" s="2" t="s">
        <v>2</v>
      </c>
      <c r="E120" s="2">
        <f>I117+100</f>
        <v>1065.1999999999998</v>
      </c>
      <c r="F120" s="2">
        <f>J117+40</f>
        <v>929</v>
      </c>
      <c r="G120" s="11">
        <v>16</v>
      </c>
      <c r="H120" s="2">
        <v>2</v>
      </c>
      <c r="I120" s="2">
        <f t="shared" ref="I120:I127" si="18">E120*F120*G120*H120/304.8/304.8/304.8</f>
        <v>1.1182836159781386</v>
      </c>
      <c r="J120" s="2">
        <f>I128*10%</f>
        <v>0.43236646002309209</v>
      </c>
      <c r="K120" s="2">
        <v>925</v>
      </c>
      <c r="L120" s="2">
        <v>190</v>
      </c>
      <c r="M120" s="6">
        <v>20</v>
      </c>
      <c r="N120" s="6">
        <v>50</v>
      </c>
      <c r="O120" s="6">
        <v>50</v>
      </c>
      <c r="P120" s="6">
        <v>30</v>
      </c>
      <c r="Q120" s="6"/>
      <c r="R120" s="7">
        <v>0.2</v>
      </c>
      <c r="S120" s="6"/>
    </row>
    <row r="121" spans="1:22" x14ac:dyDescent="0.35">
      <c r="A121" s="2">
        <v>2</v>
      </c>
      <c r="B121" s="2" t="s">
        <v>22</v>
      </c>
      <c r="C121" s="2" t="s">
        <v>21</v>
      </c>
      <c r="D121" s="2" t="s">
        <v>3</v>
      </c>
      <c r="E121" s="2">
        <f>I117+100</f>
        <v>1065.1999999999998</v>
      </c>
      <c r="F121" s="2">
        <f>K117</f>
        <v>889</v>
      </c>
      <c r="G121" s="11">
        <v>16</v>
      </c>
      <c r="H121" s="2">
        <v>2</v>
      </c>
      <c r="I121" s="2">
        <f t="shared" si="18"/>
        <v>1.0701336217487247</v>
      </c>
      <c r="J121" s="2"/>
      <c r="K121" s="2"/>
      <c r="L121" s="2"/>
      <c r="M121" s="6"/>
      <c r="N121" s="6"/>
      <c r="O121" s="6"/>
      <c r="P121" s="6"/>
      <c r="Q121" s="6"/>
      <c r="R121" s="6"/>
      <c r="S121" s="6"/>
    </row>
    <row r="122" spans="1:22" x14ac:dyDescent="0.35">
      <c r="A122" s="2">
        <v>3</v>
      </c>
      <c r="B122" s="2" t="s">
        <v>22</v>
      </c>
      <c r="C122" s="2" t="s">
        <v>21</v>
      </c>
      <c r="D122" s="2" t="s">
        <v>4</v>
      </c>
      <c r="E122" s="2">
        <v>889</v>
      </c>
      <c r="F122" s="2">
        <f>K117</f>
        <v>889</v>
      </c>
      <c r="G122" s="11">
        <v>16</v>
      </c>
      <c r="H122" s="2">
        <v>2</v>
      </c>
      <c r="I122" s="2">
        <f t="shared" si="18"/>
        <v>0.8931175269757945</v>
      </c>
      <c r="J122" s="2"/>
      <c r="K122" s="2"/>
      <c r="L122" s="2"/>
      <c r="M122" s="6"/>
      <c r="N122" s="6"/>
      <c r="O122" s="6"/>
      <c r="P122" s="6"/>
      <c r="Q122" s="6"/>
      <c r="R122" s="6"/>
      <c r="S122" s="6"/>
    </row>
    <row r="123" spans="1:22" x14ac:dyDescent="0.35">
      <c r="A123" s="2">
        <v>4</v>
      </c>
      <c r="B123" s="2" t="s">
        <v>22</v>
      </c>
      <c r="C123" s="2" t="s">
        <v>21</v>
      </c>
      <c r="D123" s="2" t="s">
        <v>19</v>
      </c>
      <c r="E123" s="2">
        <f>J117+40</f>
        <v>929</v>
      </c>
      <c r="F123" s="11">
        <v>75</v>
      </c>
      <c r="G123" s="11">
        <v>19</v>
      </c>
      <c r="H123" s="13">
        <v>2</v>
      </c>
      <c r="I123" s="2">
        <f t="shared" si="18"/>
        <v>9.3500877345149253E-2</v>
      </c>
      <c r="J123" s="2"/>
      <c r="K123" s="2"/>
      <c r="L123" s="2"/>
      <c r="M123" s="6"/>
      <c r="N123" s="6"/>
      <c r="O123" s="6"/>
      <c r="P123" s="6"/>
      <c r="Q123" s="6"/>
      <c r="R123" s="6"/>
      <c r="S123" s="6"/>
    </row>
    <row r="124" spans="1:22" x14ac:dyDescent="0.35">
      <c r="A124" s="2">
        <v>5</v>
      </c>
      <c r="B124" s="2" t="s">
        <v>22</v>
      </c>
      <c r="C124" s="2" t="s">
        <v>21</v>
      </c>
      <c r="D124" s="2" t="s">
        <v>20</v>
      </c>
      <c r="E124" s="2">
        <f>J117+40</f>
        <v>929</v>
      </c>
      <c r="F124" s="11">
        <v>100</v>
      </c>
      <c r="G124" s="11">
        <v>75</v>
      </c>
      <c r="H124" s="13">
        <v>2</v>
      </c>
      <c r="I124" s="2">
        <f t="shared" si="18"/>
        <v>0.49210988076394346</v>
      </c>
      <c r="J124" s="2"/>
      <c r="K124" s="2"/>
      <c r="L124" s="2"/>
      <c r="M124" s="6"/>
      <c r="N124" s="6"/>
      <c r="O124" s="6"/>
      <c r="P124" s="6"/>
      <c r="Q124" s="6"/>
      <c r="R124" s="6"/>
      <c r="S124" s="6"/>
    </row>
    <row r="125" spans="1:22" x14ac:dyDescent="0.35">
      <c r="A125" s="2">
        <v>6</v>
      </c>
      <c r="B125" s="2" t="s">
        <v>22</v>
      </c>
      <c r="C125" s="2" t="s">
        <v>21</v>
      </c>
      <c r="D125" s="2" t="s">
        <v>5</v>
      </c>
      <c r="E125" s="2">
        <v>1039</v>
      </c>
      <c r="F125" s="11">
        <v>75</v>
      </c>
      <c r="G125" s="11">
        <v>19</v>
      </c>
      <c r="H125" s="13">
        <v>4</v>
      </c>
      <c r="I125" s="2">
        <f t="shared" ref="I125:I126" si="19">E125*F125*G125*H125/304.8/304.8/304.8</f>
        <v>0.20914405072467185</v>
      </c>
      <c r="J125" s="2"/>
      <c r="K125" s="2"/>
      <c r="L125" s="2"/>
      <c r="M125" s="6"/>
      <c r="N125" s="6"/>
      <c r="O125" s="6"/>
      <c r="P125" s="6"/>
      <c r="Q125" s="6"/>
      <c r="R125" s="6"/>
      <c r="S125" s="6"/>
    </row>
    <row r="126" spans="1:22" x14ac:dyDescent="0.35">
      <c r="A126" s="2">
        <v>6</v>
      </c>
      <c r="B126" s="2" t="s">
        <v>22</v>
      </c>
      <c r="C126" s="2" t="s">
        <v>21</v>
      </c>
      <c r="D126" s="2" t="s">
        <v>47</v>
      </c>
      <c r="E126" s="2">
        <v>889</v>
      </c>
      <c r="F126" s="11">
        <v>75</v>
      </c>
      <c r="G126" s="11">
        <v>19</v>
      </c>
      <c r="H126" s="13">
        <v>6</v>
      </c>
      <c r="I126" s="2">
        <f t="shared" si="19"/>
        <v>0.26842501601669871</v>
      </c>
      <c r="J126" s="2"/>
      <c r="K126" s="2"/>
      <c r="L126" s="2"/>
      <c r="M126" s="6"/>
      <c r="N126" s="6"/>
      <c r="O126" s="6"/>
      <c r="P126" s="6"/>
      <c r="Q126" s="6"/>
      <c r="R126" s="6"/>
      <c r="S126" s="6"/>
    </row>
    <row r="127" spans="1:22" x14ac:dyDescent="0.35">
      <c r="A127" s="2">
        <v>6</v>
      </c>
      <c r="B127" s="2" t="s">
        <v>22</v>
      </c>
      <c r="C127" s="2" t="s">
        <v>21</v>
      </c>
      <c r="D127" s="2" t="s">
        <v>48</v>
      </c>
      <c r="E127" s="2">
        <v>889</v>
      </c>
      <c r="F127" s="11">
        <v>75</v>
      </c>
      <c r="G127" s="11">
        <v>19</v>
      </c>
      <c r="H127" s="13">
        <v>4</v>
      </c>
      <c r="I127" s="2">
        <f t="shared" si="18"/>
        <v>0.17895001067779912</v>
      </c>
      <c r="J127" s="2"/>
      <c r="K127" s="2"/>
      <c r="L127" s="2"/>
      <c r="M127" s="6"/>
      <c r="N127" s="6"/>
      <c r="O127" s="6"/>
      <c r="P127" s="6"/>
      <c r="Q127" s="6"/>
      <c r="R127" s="6"/>
      <c r="S127" s="6"/>
    </row>
    <row r="128" spans="1:22" ht="15.5" x14ac:dyDescent="0.35">
      <c r="A128" s="3"/>
      <c r="B128" s="3"/>
      <c r="C128" s="3"/>
      <c r="D128" s="3"/>
      <c r="E128" s="3"/>
      <c r="F128" s="3"/>
      <c r="G128" s="3"/>
      <c r="H128" s="3"/>
      <c r="I128" s="4">
        <f>SUM(I120:I127)</f>
        <v>4.3236646002309209</v>
      </c>
      <c r="J128" s="4">
        <f>J120+I128</f>
        <v>4.7560310602540135</v>
      </c>
      <c r="K128" s="4">
        <f>J128*K120</f>
        <v>4399.3287307349628</v>
      </c>
      <c r="L128" s="4">
        <f>J128*L120</f>
        <v>903.64590144826252</v>
      </c>
      <c r="M128" s="4">
        <f>J128*M120</f>
        <v>95.120621205080269</v>
      </c>
      <c r="N128" s="4">
        <f>J128*N120</f>
        <v>237.80155301270068</v>
      </c>
      <c r="O128" s="4">
        <f>J128*O120</f>
        <v>237.80155301270068</v>
      </c>
      <c r="P128" s="4">
        <f>J128*P120</f>
        <v>142.6809318076204</v>
      </c>
      <c r="Q128" s="4">
        <f>SUM(K128:P128)</f>
        <v>6016.3792912213266</v>
      </c>
      <c r="R128" s="4">
        <f>Q128*R120</f>
        <v>1203.2758582442655</v>
      </c>
      <c r="S128" s="5">
        <f>Q128+R128</f>
        <v>7219.6551494655923</v>
      </c>
      <c r="V128" t="s">
        <v>33</v>
      </c>
    </row>
    <row r="130" spans="1:22" x14ac:dyDescent="0.35">
      <c r="H130" s="10">
        <v>25.4</v>
      </c>
      <c r="I130" s="12">
        <v>75</v>
      </c>
      <c r="J130" s="12">
        <v>35</v>
      </c>
      <c r="K130" s="12">
        <v>35</v>
      </c>
    </row>
    <row r="131" spans="1:22" x14ac:dyDescent="0.35">
      <c r="I131">
        <f>I130*$H$16</f>
        <v>1905</v>
      </c>
      <c r="J131">
        <f>J130*$H$16</f>
        <v>889</v>
      </c>
      <c r="K131">
        <f>K130*$H$16</f>
        <v>889</v>
      </c>
    </row>
    <row r="132" spans="1:22" ht="18.5" x14ac:dyDescent="0.45">
      <c r="A132" s="1">
        <v>10</v>
      </c>
      <c r="B132" s="1"/>
      <c r="C132" s="1"/>
      <c r="D132" s="1"/>
      <c r="E132" s="1"/>
      <c r="F132" s="1"/>
      <c r="G132" s="1"/>
      <c r="H132" s="18" t="s">
        <v>41</v>
      </c>
      <c r="I132" s="19"/>
      <c r="J132" s="19"/>
      <c r="K132" s="19"/>
      <c r="L132" s="19"/>
      <c r="M132" s="20"/>
      <c r="N132" s="1"/>
      <c r="O132" s="1"/>
      <c r="P132" s="1"/>
      <c r="Q132" s="1"/>
      <c r="R132" s="1"/>
      <c r="S132" s="1"/>
    </row>
    <row r="133" spans="1:22" ht="15.5" x14ac:dyDescent="0.35">
      <c r="A133" s="4" t="s">
        <v>7</v>
      </c>
      <c r="B133" s="4" t="s">
        <v>8</v>
      </c>
      <c r="C133" s="4" t="s">
        <v>9</v>
      </c>
      <c r="D133" s="4" t="s">
        <v>24</v>
      </c>
      <c r="E133" s="4" t="s">
        <v>10</v>
      </c>
      <c r="F133" s="4" t="s">
        <v>25</v>
      </c>
      <c r="G133" s="4" t="s">
        <v>26</v>
      </c>
      <c r="H133" s="4" t="s">
        <v>1</v>
      </c>
      <c r="I133" s="4" t="s">
        <v>11</v>
      </c>
      <c r="J133" s="4" t="s">
        <v>29</v>
      </c>
      <c r="K133" s="4" t="s">
        <v>12</v>
      </c>
      <c r="L133" s="4" t="s">
        <v>13</v>
      </c>
      <c r="M133" s="4" t="s">
        <v>14</v>
      </c>
      <c r="N133" s="4" t="s">
        <v>6</v>
      </c>
      <c r="O133" s="4" t="s">
        <v>15</v>
      </c>
      <c r="P133" s="4" t="s">
        <v>16</v>
      </c>
      <c r="Q133" s="4" t="s">
        <v>0</v>
      </c>
      <c r="R133" s="4" t="s">
        <v>17</v>
      </c>
      <c r="S133" s="4" t="s">
        <v>18</v>
      </c>
    </row>
    <row r="134" spans="1:22" x14ac:dyDescent="0.35">
      <c r="A134" s="2">
        <v>1</v>
      </c>
      <c r="B134" s="2" t="s">
        <v>22</v>
      </c>
      <c r="C134" s="2" t="s">
        <v>21</v>
      </c>
      <c r="D134" s="2" t="s">
        <v>2</v>
      </c>
      <c r="E134" s="2">
        <f>I131+100</f>
        <v>2005</v>
      </c>
      <c r="F134" s="2">
        <f>J131+40</f>
        <v>929</v>
      </c>
      <c r="G134" s="11">
        <v>16</v>
      </c>
      <c r="H134" s="2">
        <v>2</v>
      </c>
      <c r="I134" s="2">
        <f t="shared" ref="I134:I141" si="20">E134*F134*G134*H134/304.8/304.8/304.8</f>
        <v>2.1049179966543075</v>
      </c>
      <c r="J134" s="2">
        <f>I142*10%</f>
        <v>0.66518291995555268</v>
      </c>
      <c r="K134" s="2">
        <v>925</v>
      </c>
      <c r="L134" s="2">
        <v>190</v>
      </c>
      <c r="M134" s="6">
        <v>20</v>
      </c>
      <c r="N134" s="6">
        <v>50</v>
      </c>
      <c r="O134" s="6">
        <v>50</v>
      </c>
      <c r="P134" s="6">
        <v>30</v>
      </c>
      <c r="Q134" s="6"/>
      <c r="R134" s="7">
        <v>0.2</v>
      </c>
      <c r="S134" s="6"/>
    </row>
    <row r="135" spans="1:22" x14ac:dyDescent="0.35">
      <c r="A135" s="2">
        <v>2</v>
      </c>
      <c r="B135" s="2" t="s">
        <v>22</v>
      </c>
      <c r="C135" s="2" t="s">
        <v>21</v>
      </c>
      <c r="D135" s="2" t="s">
        <v>3</v>
      </c>
      <c r="E135" s="2">
        <f>I131+100</f>
        <v>2005</v>
      </c>
      <c r="F135" s="2">
        <f>K131</f>
        <v>889</v>
      </c>
      <c r="G135" s="11">
        <v>16</v>
      </c>
      <c r="H135" s="2">
        <v>2</v>
      </c>
      <c r="I135" s="2">
        <f t="shared" si="20"/>
        <v>2.0142864359802788</v>
      </c>
      <c r="J135" s="2"/>
      <c r="K135" s="2"/>
      <c r="L135" s="2"/>
      <c r="M135" s="6"/>
      <c r="N135" s="6"/>
      <c r="O135" s="6"/>
      <c r="P135" s="6"/>
      <c r="Q135" s="6"/>
      <c r="R135" s="6"/>
      <c r="S135" s="6"/>
    </row>
    <row r="136" spans="1:22" x14ac:dyDescent="0.35">
      <c r="A136" s="2">
        <v>3</v>
      </c>
      <c r="B136" s="2" t="s">
        <v>22</v>
      </c>
      <c r="C136" s="2" t="s">
        <v>21</v>
      </c>
      <c r="D136" s="2" t="s">
        <v>4</v>
      </c>
      <c r="E136" s="2">
        <v>889</v>
      </c>
      <c r="F136" s="2">
        <f>K131</f>
        <v>889</v>
      </c>
      <c r="G136" s="11">
        <v>16</v>
      </c>
      <c r="H136" s="2">
        <v>2</v>
      </c>
      <c r="I136" s="2">
        <f t="shared" si="20"/>
        <v>0.8931175269757945</v>
      </c>
      <c r="J136" s="2"/>
      <c r="K136" s="2"/>
      <c r="L136" s="2"/>
      <c r="M136" s="6"/>
      <c r="N136" s="6"/>
      <c r="O136" s="6"/>
      <c r="P136" s="6"/>
      <c r="Q136" s="6"/>
      <c r="R136" s="6"/>
      <c r="S136" s="6"/>
    </row>
    <row r="137" spans="1:22" x14ac:dyDescent="0.35">
      <c r="A137" s="2">
        <v>4</v>
      </c>
      <c r="B137" s="2" t="s">
        <v>22</v>
      </c>
      <c r="C137" s="2" t="s">
        <v>21</v>
      </c>
      <c r="D137" s="2" t="s">
        <v>19</v>
      </c>
      <c r="E137" s="2">
        <f>J131+40</f>
        <v>929</v>
      </c>
      <c r="F137" s="11">
        <v>75</v>
      </c>
      <c r="G137" s="11">
        <v>19</v>
      </c>
      <c r="H137" s="13">
        <v>3</v>
      </c>
      <c r="I137" s="2">
        <f t="shared" si="20"/>
        <v>0.14025131601772386</v>
      </c>
      <c r="J137" s="2"/>
      <c r="K137" s="2"/>
      <c r="L137" s="2"/>
      <c r="M137" s="6"/>
      <c r="N137" s="6"/>
      <c r="O137" s="6"/>
      <c r="P137" s="6"/>
      <c r="Q137" s="6"/>
      <c r="R137" s="6"/>
      <c r="S137" s="6"/>
    </row>
    <row r="138" spans="1:22" x14ac:dyDescent="0.35">
      <c r="A138" s="2">
        <v>5</v>
      </c>
      <c r="B138" s="2" t="s">
        <v>22</v>
      </c>
      <c r="C138" s="2" t="s">
        <v>21</v>
      </c>
      <c r="D138" s="2" t="s">
        <v>20</v>
      </c>
      <c r="E138" s="2">
        <f>J131+40</f>
        <v>929</v>
      </c>
      <c r="F138" s="11">
        <v>100</v>
      </c>
      <c r="G138" s="11">
        <v>75</v>
      </c>
      <c r="H138" s="13">
        <v>3</v>
      </c>
      <c r="I138" s="2">
        <f t="shared" si="20"/>
        <v>0.73816482114591508</v>
      </c>
      <c r="J138" s="2"/>
      <c r="K138" s="2"/>
      <c r="L138" s="2"/>
      <c r="M138" s="6"/>
      <c r="N138" s="6"/>
      <c r="O138" s="6"/>
      <c r="P138" s="6"/>
      <c r="Q138" s="6"/>
      <c r="R138" s="6"/>
      <c r="S138" s="6"/>
    </row>
    <row r="139" spans="1:22" x14ac:dyDescent="0.35">
      <c r="A139" s="2">
        <v>6</v>
      </c>
      <c r="B139" s="2" t="s">
        <v>22</v>
      </c>
      <c r="C139" s="2" t="s">
        <v>21</v>
      </c>
      <c r="D139" s="2" t="s">
        <v>5</v>
      </c>
      <c r="E139" s="2">
        <v>1039</v>
      </c>
      <c r="F139" s="11">
        <v>75</v>
      </c>
      <c r="G139" s="11">
        <v>19</v>
      </c>
      <c r="H139" s="13">
        <v>6</v>
      </c>
      <c r="I139" s="2">
        <f t="shared" ref="I139:I140" si="21">E139*F139*G139*H139/304.8/304.8/304.8</f>
        <v>0.31371607608700774</v>
      </c>
      <c r="J139" s="2"/>
      <c r="K139" s="2"/>
      <c r="L139" s="2"/>
      <c r="M139" s="6"/>
      <c r="N139" s="6"/>
      <c r="O139" s="6"/>
      <c r="P139" s="6"/>
      <c r="Q139" s="6"/>
      <c r="R139" s="6"/>
      <c r="S139" s="6"/>
    </row>
    <row r="140" spans="1:22" x14ac:dyDescent="0.35">
      <c r="A140" s="2">
        <v>7</v>
      </c>
      <c r="B140" s="2" t="s">
        <v>22</v>
      </c>
      <c r="C140" s="2" t="s">
        <v>21</v>
      </c>
      <c r="D140" s="2" t="s">
        <v>47</v>
      </c>
      <c r="E140" s="2">
        <v>889</v>
      </c>
      <c r="F140" s="11">
        <v>75</v>
      </c>
      <c r="G140" s="11">
        <v>19</v>
      </c>
      <c r="H140" s="13">
        <v>6</v>
      </c>
      <c r="I140" s="2">
        <f t="shared" si="21"/>
        <v>0.26842501601669871</v>
      </c>
      <c r="J140" s="2"/>
      <c r="K140" s="2"/>
      <c r="L140" s="2"/>
      <c r="M140" s="6"/>
      <c r="N140" s="6"/>
      <c r="O140" s="6"/>
      <c r="P140" s="6"/>
      <c r="Q140" s="6"/>
      <c r="R140" s="6"/>
      <c r="S140" s="6"/>
    </row>
    <row r="141" spans="1:22" x14ac:dyDescent="0.35">
      <c r="A141" s="2">
        <v>8</v>
      </c>
      <c r="B141" s="2" t="s">
        <v>22</v>
      </c>
      <c r="C141" s="2" t="s">
        <v>21</v>
      </c>
      <c r="D141" s="2" t="s">
        <v>48</v>
      </c>
      <c r="E141" s="2">
        <v>889</v>
      </c>
      <c r="F141" s="11">
        <v>75</v>
      </c>
      <c r="G141" s="11">
        <v>19</v>
      </c>
      <c r="H141" s="13">
        <v>4</v>
      </c>
      <c r="I141" s="2">
        <f t="shared" si="20"/>
        <v>0.17895001067779912</v>
      </c>
      <c r="J141" s="2"/>
      <c r="K141" s="2"/>
      <c r="L141" s="2"/>
      <c r="M141" s="6"/>
      <c r="N141" s="6"/>
      <c r="O141" s="6"/>
      <c r="P141" s="6"/>
      <c r="Q141" s="6"/>
      <c r="R141" s="6"/>
      <c r="S141" s="6"/>
    </row>
    <row r="142" spans="1:22" ht="15.5" x14ac:dyDescent="0.35">
      <c r="A142" s="3"/>
      <c r="B142" s="3"/>
      <c r="C142" s="3"/>
      <c r="D142" s="3"/>
      <c r="E142" s="3"/>
      <c r="F142" s="3"/>
      <c r="G142" s="3"/>
      <c r="H142" s="3"/>
      <c r="I142" s="4">
        <f>SUM(I134:I141)</f>
        <v>6.6518291995555261</v>
      </c>
      <c r="J142" s="4">
        <f>J134+I142</f>
        <v>7.3170121195110784</v>
      </c>
      <c r="K142" s="4">
        <f>J142*K134</f>
        <v>6768.2362105477478</v>
      </c>
      <c r="L142" s="4">
        <f>J142*L134</f>
        <v>1390.232302707105</v>
      </c>
      <c r="M142" s="4">
        <f>J142*M134</f>
        <v>146.34024239022156</v>
      </c>
      <c r="N142" s="4">
        <f>J142*N134</f>
        <v>365.85060597555395</v>
      </c>
      <c r="O142" s="4">
        <f>J142*O134</f>
        <v>365.85060597555395</v>
      </c>
      <c r="P142" s="4">
        <f>J142*P134</f>
        <v>219.51036358533236</v>
      </c>
      <c r="Q142" s="4">
        <f>SUM(K142:P142)</f>
        <v>9256.0203311815148</v>
      </c>
      <c r="R142" s="4">
        <f>Q142*R134</f>
        <v>1851.2040662363031</v>
      </c>
      <c r="S142" s="5">
        <f>Q142+R142</f>
        <v>11107.224397417818</v>
      </c>
      <c r="V142" t="s">
        <v>33</v>
      </c>
    </row>
    <row r="145" spans="1:22" x14ac:dyDescent="0.35">
      <c r="H145" s="10">
        <v>25.4</v>
      </c>
      <c r="I145" s="12">
        <v>75</v>
      </c>
      <c r="J145" s="12">
        <v>35</v>
      </c>
      <c r="K145" s="12">
        <v>24</v>
      </c>
    </row>
    <row r="146" spans="1:22" x14ac:dyDescent="0.35">
      <c r="I146">
        <f>I145*$H$16</f>
        <v>1905</v>
      </c>
      <c r="J146">
        <f>J145*$H$16</f>
        <v>889</v>
      </c>
      <c r="K146">
        <f>K145*$H$16</f>
        <v>609.59999999999991</v>
      </c>
    </row>
    <row r="147" spans="1:22" ht="18.5" x14ac:dyDescent="0.45">
      <c r="A147" s="1">
        <v>11</v>
      </c>
      <c r="B147" s="1"/>
      <c r="C147" s="1"/>
      <c r="D147" s="1"/>
      <c r="E147" s="1"/>
      <c r="F147" s="1"/>
      <c r="G147" s="1"/>
      <c r="H147" s="18" t="s">
        <v>42</v>
      </c>
      <c r="I147" s="19"/>
      <c r="J147" s="19"/>
      <c r="K147" s="19"/>
      <c r="L147" s="19"/>
      <c r="M147" s="20"/>
      <c r="N147" s="1"/>
      <c r="O147" s="1"/>
      <c r="P147" s="1"/>
      <c r="Q147" s="1"/>
      <c r="R147" s="1"/>
      <c r="S147" s="1"/>
    </row>
    <row r="148" spans="1:22" ht="15.5" x14ac:dyDescent="0.35">
      <c r="A148" s="4" t="s">
        <v>7</v>
      </c>
      <c r="B148" s="4" t="s">
        <v>8</v>
      </c>
      <c r="C148" s="4" t="s">
        <v>9</v>
      </c>
      <c r="D148" s="4" t="s">
        <v>24</v>
      </c>
      <c r="E148" s="4" t="s">
        <v>10</v>
      </c>
      <c r="F148" s="4" t="s">
        <v>25</v>
      </c>
      <c r="G148" s="4" t="s">
        <v>26</v>
      </c>
      <c r="H148" s="4" t="s">
        <v>1</v>
      </c>
      <c r="I148" s="4" t="s">
        <v>11</v>
      </c>
      <c r="J148" s="4" t="s">
        <v>29</v>
      </c>
      <c r="K148" s="4" t="s">
        <v>12</v>
      </c>
      <c r="L148" s="4" t="s">
        <v>13</v>
      </c>
      <c r="M148" s="4" t="s">
        <v>14</v>
      </c>
      <c r="N148" s="4" t="s">
        <v>6</v>
      </c>
      <c r="O148" s="4" t="s">
        <v>15</v>
      </c>
      <c r="P148" s="4" t="s">
        <v>16</v>
      </c>
      <c r="Q148" s="4" t="s">
        <v>0</v>
      </c>
      <c r="R148" s="4" t="s">
        <v>17</v>
      </c>
      <c r="S148" s="4" t="s">
        <v>18</v>
      </c>
    </row>
    <row r="149" spans="1:22" x14ac:dyDescent="0.35">
      <c r="A149" s="2">
        <v>1</v>
      </c>
      <c r="B149" s="2" t="s">
        <v>22</v>
      </c>
      <c r="C149" s="2" t="s">
        <v>21</v>
      </c>
      <c r="D149" s="2" t="s">
        <v>2</v>
      </c>
      <c r="E149" s="2">
        <f>I146+100</f>
        <v>2005</v>
      </c>
      <c r="F149" s="2">
        <f>J146+40</f>
        <v>929</v>
      </c>
      <c r="G149" s="11">
        <v>16</v>
      </c>
      <c r="H149" s="2">
        <v>2</v>
      </c>
      <c r="I149" s="2">
        <f t="shared" ref="I149:I156" si="22">E149*F149*G149*H149/304.8/304.8/304.8</f>
        <v>2.1049179966543075</v>
      </c>
      <c r="J149" s="2">
        <f>I157*10%</f>
        <v>0.55723687765635221</v>
      </c>
      <c r="K149" s="2">
        <v>925</v>
      </c>
      <c r="L149" s="2">
        <v>190</v>
      </c>
      <c r="M149" s="6">
        <v>20</v>
      </c>
      <c r="N149" s="6">
        <v>50</v>
      </c>
      <c r="O149" s="6">
        <v>50</v>
      </c>
      <c r="P149" s="6">
        <v>30</v>
      </c>
      <c r="Q149" s="6"/>
      <c r="R149" s="7">
        <v>0.2</v>
      </c>
      <c r="S149" s="6"/>
    </row>
    <row r="150" spans="1:22" x14ac:dyDescent="0.35">
      <c r="A150" s="2">
        <v>2</v>
      </c>
      <c r="B150" s="2" t="s">
        <v>22</v>
      </c>
      <c r="C150" s="2" t="s">
        <v>21</v>
      </c>
      <c r="D150" s="2" t="s">
        <v>3</v>
      </c>
      <c r="E150" s="2">
        <f>I146+100</f>
        <v>2005</v>
      </c>
      <c r="F150" s="2">
        <f>K146</f>
        <v>609.59999999999991</v>
      </c>
      <c r="G150" s="11">
        <v>16</v>
      </c>
      <c r="H150" s="2">
        <v>2</v>
      </c>
      <c r="I150" s="2">
        <f t="shared" si="22"/>
        <v>1.3812249846721911</v>
      </c>
      <c r="J150" s="2"/>
      <c r="K150" s="2"/>
      <c r="L150" s="2"/>
      <c r="M150" s="6"/>
      <c r="N150" s="6"/>
      <c r="O150" s="6"/>
      <c r="P150" s="6"/>
      <c r="Q150" s="6"/>
      <c r="R150" s="6"/>
      <c r="S150" s="6"/>
    </row>
    <row r="151" spans="1:22" x14ac:dyDescent="0.35">
      <c r="A151" s="2">
        <v>3</v>
      </c>
      <c r="B151" s="2" t="s">
        <v>22</v>
      </c>
      <c r="C151" s="2" t="s">
        <v>21</v>
      </c>
      <c r="D151" s="2" t="s">
        <v>4</v>
      </c>
      <c r="E151" s="2">
        <v>889</v>
      </c>
      <c r="F151" s="2">
        <f>K146</f>
        <v>609.59999999999991</v>
      </c>
      <c r="G151" s="11">
        <v>16</v>
      </c>
      <c r="H151" s="2">
        <v>2</v>
      </c>
      <c r="I151" s="2">
        <f t="shared" si="22"/>
        <v>0.61242344706911611</v>
      </c>
      <c r="J151" s="2"/>
      <c r="K151" s="2"/>
      <c r="L151" s="2"/>
      <c r="M151" s="6"/>
      <c r="N151" s="6"/>
      <c r="O151" s="6"/>
      <c r="P151" s="6"/>
      <c r="Q151" s="6"/>
      <c r="R151" s="6"/>
      <c r="S151" s="6"/>
    </row>
    <row r="152" spans="1:22" x14ac:dyDescent="0.35">
      <c r="A152" s="2">
        <v>4</v>
      </c>
      <c r="B152" s="2" t="s">
        <v>22</v>
      </c>
      <c r="C152" s="2" t="s">
        <v>21</v>
      </c>
      <c r="D152" s="2" t="s">
        <v>19</v>
      </c>
      <c r="E152" s="2">
        <f>J146+40</f>
        <v>929</v>
      </c>
      <c r="F152" s="11">
        <v>75</v>
      </c>
      <c r="G152" s="11">
        <v>19</v>
      </c>
      <c r="H152" s="13">
        <v>3</v>
      </c>
      <c r="I152" s="2">
        <f t="shared" si="22"/>
        <v>0.14025131601772386</v>
      </c>
      <c r="J152" s="2"/>
      <c r="K152" s="2"/>
      <c r="L152" s="2"/>
      <c r="M152" s="6"/>
      <c r="N152" s="6"/>
      <c r="O152" s="6"/>
      <c r="P152" s="6"/>
      <c r="Q152" s="6"/>
      <c r="R152" s="6"/>
      <c r="S152" s="6"/>
    </row>
    <row r="153" spans="1:22" x14ac:dyDescent="0.35">
      <c r="A153" s="2">
        <v>5</v>
      </c>
      <c r="B153" s="2" t="s">
        <v>22</v>
      </c>
      <c r="C153" s="2" t="s">
        <v>21</v>
      </c>
      <c r="D153" s="2" t="s">
        <v>20</v>
      </c>
      <c r="E153" s="2">
        <f>J146+40</f>
        <v>929</v>
      </c>
      <c r="F153" s="11">
        <v>100</v>
      </c>
      <c r="G153" s="11">
        <v>75</v>
      </c>
      <c r="H153" s="13">
        <v>3</v>
      </c>
      <c r="I153" s="2">
        <f t="shared" si="22"/>
        <v>0.73816482114591508</v>
      </c>
      <c r="J153" s="2"/>
      <c r="K153" s="2"/>
      <c r="L153" s="2"/>
      <c r="M153" s="6"/>
      <c r="N153" s="6"/>
      <c r="O153" s="6"/>
      <c r="P153" s="6"/>
      <c r="Q153" s="6"/>
      <c r="R153" s="6"/>
      <c r="S153" s="6"/>
    </row>
    <row r="154" spans="1:22" x14ac:dyDescent="0.35">
      <c r="A154" s="2">
        <v>6</v>
      </c>
      <c r="B154" s="2" t="s">
        <v>22</v>
      </c>
      <c r="C154" s="2" t="s">
        <v>21</v>
      </c>
      <c r="D154" s="2" t="s">
        <v>5</v>
      </c>
      <c r="E154" s="2">
        <v>769.6</v>
      </c>
      <c r="F154" s="11">
        <v>75</v>
      </c>
      <c r="G154" s="11">
        <v>19</v>
      </c>
      <c r="H154" s="13">
        <v>6</v>
      </c>
      <c r="I154" s="2">
        <f t="shared" ref="I154:I155" si="23">E154*F154*G154*H154/304.8/304.8/304.8</f>
        <v>0.23237333220073259</v>
      </c>
      <c r="J154" s="2"/>
      <c r="K154" s="2"/>
      <c r="L154" s="2"/>
      <c r="M154" s="6"/>
      <c r="N154" s="6"/>
      <c r="O154" s="6"/>
      <c r="P154" s="6"/>
      <c r="Q154" s="6"/>
      <c r="R154" s="6"/>
      <c r="S154" s="6"/>
    </row>
    <row r="155" spans="1:22" x14ac:dyDescent="0.35">
      <c r="A155" s="2">
        <v>7</v>
      </c>
      <c r="B155" s="2" t="s">
        <v>22</v>
      </c>
      <c r="C155" s="2" t="s">
        <v>21</v>
      </c>
      <c r="D155" s="2" t="s">
        <v>47</v>
      </c>
      <c r="E155" s="2">
        <v>609.6</v>
      </c>
      <c r="F155" s="11">
        <v>75</v>
      </c>
      <c r="G155" s="11">
        <v>19</v>
      </c>
      <c r="H155" s="13">
        <v>6</v>
      </c>
      <c r="I155" s="2">
        <f t="shared" si="23"/>
        <v>0.18406286812573625</v>
      </c>
      <c r="J155" s="2"/>
      <c r="K155" s="2"/>
      <c r="L155" s="2"/>
      <c r="M155" s="6"/>
      <c r="N155" s="6"/>
      <c r="O155" s="6"/>
      <c r="P155" s="6"/>
      <c r="Q155" s="6"/>
      <c r="R155" s="6"/>
      <c r="S155" s="6"/>
    </row>
    <row r="156" spans="1:22" x14ac:dyDescent="0.35">
      <c r="A156" s="2">
        <v>8</v>
      </c>
      <c r="B156" s="2" t="s">
        <v>22</v>
      </c>
      <c r="C156" s="2" t="s">
        <v>21</v>
      </c>
      <c r="D156" s="2" t="s">
        <v>48</v>
      </c>
      <c r="E156" s="2">
        <v>889</v>
      </c>
      <c r="F156" s="11">
        <v>75</v>
      </c>
      <c r="G156" s="11">
        <v>19</v>
      </c>
      <c r="H156" s="13">
        <v>4</v>
      </c>
      <c r="I156" s="2">
        <f t="shared" si="22"/>
        <v>0.17895001067779912</v>
      </c>
      <c r="J156" s="2"/>
      <c r="K156" s="2"/>
      <c r="L156" s="2"/>
      <c r="M156" s="6"/>
      <c r="N156" s="6"/>
      <c r="O156" s="6"/>
      <c r="P156" s="6"/>
      <c r="Q156" s="6"/>
      <c r="R156" s="6"/>
      <c r="S156" s="6"/>
    </row>
    <row r="157" spans="1:22" ht="15.5" x14ac:dyDescent="0.35">
      <c r="A157" s="3"/>
      <c r="B157" s="3"/>
      <c r="C157" s="3"/>
      <c r="D157" s="3"/>
      <c r="E157" s="3"/>
      <c r="F157" s="3"/>
      <c r="G157" s="3"/>
      <c r="H157" s="3"/>
      <c r="I157" s="4">
        <f>SUM(I149:I156)</f>
        <v>5.5723687765635219</v>
      </c>
      <c r="J157" s="4">
        <f>J149+I157</f>
        <v>6.1296056542198745</v>
      </c>
      <c r="K157" s="4">
        <f>J157*K149</f>
        <v>5669.8852301533843</v>
      </c>
      <c r="L157" s="4">
        <f>J157*L149</f>
        <v>1164.6250743017761</v>
      </c>
      <c r="M157" s="4">
        <f>J157*M149</f>
        <v>122.59211308439748</v>
      </c>
      <c r="N157" s="4">
        <f>J157*N149</f>
        <v>306.48028271099372</v>
      </c>
      <c r="O157" s="4">
        <f>J157*O149</f>
        <v>306.48028271099372</v>
      </c>
      <c r="P157" s="4">
        <f>J157*P149</f>
        <v>183.88816962659624</v>
      </c>
      <c r="Q157" s="4">
        <f>SUM(K157:P157)</f>
        <v>7753.9511525881408</v>
      </c>
      <c r="R157" s="4">
        <f>Q157*R149</f>
        <v>1550.7902305176283</v>
      </c>
      <c r="S157" s="5">
        <f>Q157+R157</f>
        <v>9304.7413831057693</v>
      </c>
      <c r="V157" t="s">
        <v>33</v>
      </c>
    </row>
    <row r="159" spans="1:22" x14ac:dyDescent="0.35">
      <c r="H159" s="10">
        <v>25.4</v>
      </c>
      <c r="I159" s="12">
        <v>114</v>
      </c>
      <c r="J159" s="12">
        <v>24</v>
      </c>
      <c r="K159" s="12">
        <v>20</v>
      </c>
    </row>
    <row r="160" spans="1:22" x14ac:dyDescent="0.35">
      <c r="I160">
        <f>I159*$H$16</f>
        <v>2895.6</v>
      </c>
      <c r="J160">
        <f>J159*$H$16</f>
        <v>609.59999999999991</v>
      </c>
      <c r="K160">
        <f>K159*$H$16</f>
        <v>508</v>
      </c>
    </row>
    <row r="161" spans="1:22" ht="18.5" x14ac:dyDescent="0.45">
      <c r="A161" s="1">
        <v>12</v>
      </c>
      <c r="B161" s="1"/>
      <c r="C161" s="1"/>
      <c r="D161" s="1"/>
      <c r="E161" s="1"/>
      <c r="F161" s="1"/>
      <c r="G161" s="1"/>
      <c r="H161" s="18" t="s">
        <v>43</v>
      </c>
      <c r="I161" s="19"/>
      <c r="J161" s="19"/>
      <c r="K161" s="19"/>
      <c r="L161" s="19"/>
      <c r="M161" s="20"/>
      <c r="N161" s="1"/>
      <c r="O161" s="1"/>
      <c r="P161" s="1"/>
      <c r="Q161" s="1"/>
      <c r="R161" s="1"/>
      <c r="S161" s="1"/>
    </row>
    <row r="162" spans="1:22" ht="15.5" x14ac:dyDescent="0.35">
      <c r="A162" s="4" t="s">
        <v>7</v>
      </c>
      <c r="B162" s="4" t="s">
        <v>8</v>
      </c>
      <c r="C162" s="4" t="s">
        <v>9</v>
      </c>
      <c r="D162" s="4" t="s">
        <v>24</v>
      </c>
      <c r="E162" s="4" t="s">
        <v>10</v>
      </c>
      <c r="F162" s="4" t="s">
        <v>25</v>
      </c>
      <c r="G162" s="4" t="s">
        <v>26</v>
      </c>
      <c r="H162" s="4" t="s">
        <v>1</v>
      </c>
      <c r="I162" s="4" t="s">
        <v>11</v>
      </c>
      <c r="J162" s="4" t="s">
        <v>29</v>
      </c>
      <c r="K162" s="4" t="s">
        <v>12</v>
      </c>
      <c r="L162" s="4" t="s">
        <v>13</v>
      </c>
      <c r="M162" s="4" t="s">
        <v>14</v>
      </c>
      <c r="N162" s="4" t="s">
        <v>6</v>
      </c>
      <c r="O162" s="4" t="s">
        <v>15</v>
      </c>
      <c r="P162" s="4" t="s">
        <v>16</v>
      </c>
      <c r="Q162" s="4" t="s">
        <v>0</v>
      </c>
      <c r="R162" s="4" t="s">
        <v>17</v>
      </c>
      <c r="S162" s="4" t="s">
        <v>18</v>
      </c>
    </row>
    <row r="163" spans="1:22" x14ac:dyDescent="0.35">
      <c r="A163" s="2">
        <v>1</v>
      </c>
      <c r="B163" s="2" t="s">
        <v>22</v>
      </c>
      <c r="C163" s="2" t="s">
        <v>21</v>
      </c>
      <c r="D163" s="2" t="s">
        <v>2</v>
      </c>
      <c r="E163" s="2">
        <f>I160+100</f>
        <v>2995.6</v>
      </c>
      <c r="F163" s="2">
        <f>J160+40</f>
        <v>649.59999999999991</v>
      </c>
      <c r="G163" s="11">
        <v>16</v>
      </c>
      <c r="H163" s="2">
        <v>2</v>
      </c>
      <c r="I163" s="2">
        <f t="shared" ref="I163:I170" si="24">E163*F163*G163*H163/304.8/304.8/304.8</f>
        <v>2.1990491108424615</v>
      </c>
      <c r="J163" s="2">
        <f>I171*10%</f>
        <v>0.56286743300374897</v>
      </c>
      <c r="K163" s="2">
        <v>925</v>
      </c>
      <c r="L163" s="2">
        <v>190</v>
      </c>
      <c r="M163" s="6">
        <v>20</v>
      </c>
      <c r="N163" s="6">
        <v>50</v>
      </c>
      <c r="O163" s="6">
        <v>50</v>
      </c>
      <c r="P163" s="6">
        <v>30</v>
      </c>
      <c r="Q163" s="6"/>
      <c r="R163" s="7">
        <v>0.2</v>
      </c>
      <c r="S163" s="6"/>
    </row>
    <row r="164" spans="1:22" x14ac:dyDescent="0.35">
      <c r="A164" s="2">
        <v>2</v>
      </c>
      <c r="B164" s="2" t="s">
        <v>22</v>
      </c>
      <c r="C164" s="2" t="s">
        <v>21</v>
      </c>
      <c r="D164" s="2" t="s">
        <v>3</v>
      </c>
      <c r="E164" s="2">
        <f>I160+100</f>
        <v>2995.6</v>
      </c>
      <c r="F164" s="2">
        <f>K160</f>
        <v>508</v>
      </c>
      <c r="G164" s="11">
        <v>16</v>
      </c>
      <c r="H164" s="2">
        <v>2</v>
      </c>
      <c r="I164" s="2">
        <f t="shared" si="24"/>
        <v>1.7196997356957675</v>
      </c>
      <c r="J164" s="2"/>
      <c r="K164" s="2"/>
      <c r="L164" s="2"/>
      <c r="M164" s="6"/>
      <c r="N164" s="6"/>
      <c r="O164" s="6"/>
      <c r="P164" s="6"/>
      <c r="Q164" s="6"/>
      <c r="R164" s="6"/>
      <c r="S164" s="6"/>
    </row>
    <row r="165" spans="1:22" x14ac:dyDescent="0.35">
      <c r="A165" s="2">
        <v>3</v>
      </c>
      <c r="B165" s="2" t="s">
        <v>22</v>
      </c>
      <c r="C165" s="2" t="s">
        <v>21</v>
      </c>
      <c r="D165" s="2" t="s">
        <v>4</v>
      </c>
      <c r="E165" s="2">
        <v>609.6</v>
      </c>
      <c r="F165" s="2">
        <f>K160</f>
        <v>508</v>
      </c>
      <c r="G165" s="11">
        <v>16</v>
      </c>
      <c r="H165" s="2">
        <v>2</v>
      </c>
      <c r="I165" s="2">
        <f t="shared" si="24"/>
        <v>0.34995625546806647</v>
      </c>
      <c r="J165" s="2"/>
      <c r="K165" s="2"/>
      <c r="L165" s="2"/>
      <c r="M165" s="6"/>
      <c r="N165" s="6"/>
      <c r="O165" s="6"/>
      <c r="P165" s="6"/>
      <c r="Q165" s="6"/>
      <c r="R165" s="6"/>
      <c r="S165" s="6"/>
    </row>
    <row r="166" spans="1:22" x14ac:dyDescent="0.35">
      <c r="A166" s="2">
        <v>4</v>
      </c>
      <c r="B166" s="2" t="s">
        <v>22</v>
      </c>
      <c r="C166" s="2" t="s">
        <v>21</v>
      </c>
      <c r="D166" s="2" t="s">
        <v>19</v>
      </c>
      <c r="E166" s="2">
        <f>J160+40</f>
        <v>649.59999999999991</v>
      </c>
      <c r="F166" s="11">
        <v>75</v>
      </c>
      <c r="G166" s="11">
        <v>19</v>
      </c>
      <c r="H166" s="13">
        <v>4</v>
      </c>
      <c r="I166" s="2">
        <f t="shared" si="24"/>
        <v>0.13076032276299018</v>
      </c>
      <c r="J166" s="2"/>
      <c r="K166" s="2"/>
      <c r="L166" s="2"/>
      <c r="M166" s="6"/>
      <c r="N166" s="6"/>
      <c r="O166" s="6"/>
      <c r="P166" s="6"/>
      <c r="Q166" s="6"/>
      <c r="R166" s="6"/>
      <c r="S166" s="6"/>
    </row>
    <row r="167" spans="1:22" x14ac:dyDescent="0.35">
      <c r="A167" s="2">
        <v>5</v>
      </c>
      <c r="B167" s="2" t="s">
        <v>22</v>
      </c>
      <c r="C167" s="2" t="s">
        <v>21</v>
      </c>
      <c r="D167" s="2" t="s">
        <v>20</v>
      </c>
      <c r="E167" s="2">
        <f>J160+40</f>
        <v>649.59999999999991</v>
      </c>
      <c r="F167" s="11">
        <v>100</v>
      </c>
      <c r="G167" s="11">
        <v>75</v>
      </c>
      <c r="H167" s="13">
        <v>4</v>
      </c>
      <c r="I167" s="2">
        <f t="shared" si="24"/>
        <v>0.68821222506836943</v>
      </c>
      <c r="J167" s="2"/>
      <c r="K167" s="2"/>
      <c r="L167" s="2"/>
      <c r="M167" s="6"/>
      <c r="N167" s="6"/>
      <c r="O167" s="6"/>
      <c r="P167" s="6"/>
      <c r="Q167" s="6"/>
      <c r="R167" s="6"/>
      <c r="S167" s="6"/>
    </row>
    <row r="168" spans="1:22" x14ac:dyDescent="0.35">
      <c r="A168" s="2">
        <v>6</v>
      </c>
      <c r="B168" s="2" t="s">
        <v>22</v>
      </c>
      <c r="C168" s="2" t="s">
        <v>21</v>
      </c>
      <c r="D168" s="2" t="s">
        <v>5</v>
      </c>
      <c r="E168" s="2">
        <v>658</v>
      </c>
      <c r="F168" s="11">
        <v>75</v>
      </c>
      <c r="G168" s="11">
        <v>19</v>
      </c>
      <c r="H168" s="13">
        <v>8</v>
      </c>
      <c r="I168" s="2">
        <f t="shared" ref="I168:I169" si="25">E168*F168*G168*H168/304.8/304.8/304.8</f>
        <v>0.26490237801123018</v>
      </c>
      <c r="J168" s="2"/>
      <c r="K168" s="2"/>
      <c r="L168" s="2"/>
      <c r="M168" s="6"/>
      <c r="N168" s="6"/>
      <c r="O168" s="6"/>
      <c r="P168" s="6"/>
      <c r="Q168" s="6"/>
      <c r="R168" s="6"/>
      <c r="S168" s="6"/>
    </row>
    <row r="169" spans="1:22" x14ac:dyDescent="0.35">
      <c r="A169" s="2">
        <v>6</v>
      </c>
      <c r="B169" s="2" t="s">
        <v>22</v>
      </c>
      <c r="C169" s="2" t="s">
        <v>21</v>
      </c>
      <c r="D169" s="2" t="s">
        <v>47</v>
      </c>
      <c r="E169" s="2">
        <v>508</v>
      </c>
      <c r="F169" s="11">
        <v>75</v>
      </c>
      <c r="G169" s="11">
        <v>19</v>
      </c>
      <c r="H169" s="13">
        <v>6</v>
      </c>
      <c r="I169" s="2">
        <f t="shared" si="25"/>
        <v>0.15338572343811355</v>
      </c>
      <c r="J169" s="2"/>
      <c r="K169" s="2"/>
      <c r="L169" s="2"/>
      <c r="M169" s="6"/>
      <c r="N169" s="6"/>
      <c r="O169" s="6"/>
      <c r="P169" s="6"/>
      <c r="Q169" s="6"/>
      <c r="R169" s="6"/>
      <c r="S169" s="6"/>
    </row>
    <row r="170" spans="1:22" x14ac:dyDescent="0.35">
      <c r="A170" s="2">
        <v>6</v>
      </c>
      <c r="B170" s="2" t="s">
        <v>22</v>
      </c>
      <c r="C170" s="2" t="s">
        <v>21</v>
      </c>
      <c r="D170" s="2" t="s">
        <v>48</v>
      </c>
      <c r="E170" s="2">
        <v>609.6</v>
      </c>
      <c r="F170" s="11">
        <v>75</v>
      </c>
      <c r="G170" s="11">
        <v>19</v>
      </c>
      <c r="H170" s="13">
        <v>4</v>
      </c>
      <c r="I170" s="2">
        <f t="shared" si="24"/>
        <v>0.12270857875049083</v>
      </c>
      <c r="J170" s="2"/>
      <c r="K170" s="2"/>
      <c r="L170" s="2"/>
      <c r="M170" s="6"/>
      <c r="N170" s="6"/>
      <c r="O170" s="6"/>
      <c r="P170" s="6"/>
      <c r="Q170" s="6"/>
      <c r="R170" s="6"/>
      <c r="S170" s="6"/>
    </row>
    <row r="171" spans="1:22" ht="15.5" x14ac:dyDescent="0.35">
      <c r="A171" s="3"/>
      <c r="B171" s="3"/>
      <c r="C171" s="3"/>
      <c r="D171" s="3"/>
      <c r="E171" s="3"/>
      <c r="F171" s="3"/>
      <c r="G171" s="3"/>
      <c r="H171" s="3"/>
      <c r="I171" s="4">
        <f>SUM(I163:I170)</f>
        <v>5.62867433003749</v>
      </c>
      <c r="J171" s="4">
        <f>J163+I171</f>
        <v>6.191541763041239</v>
      </c>
      <c r="K171" s="4">
        <f>J171*K163</f>
        <v>5727.1761308131463</v>
      </c>
      <c r="L171" s="4">
        <f>J171*L163</f>
        <v>1176.3929349778355</v>
      </c>
      <c r="M171" s="4">
        <f>J171*M163</f>
        <v>123.83083526082478</v>
      </c>
      <c r="N171" s="4">
        <f>J171*N163</f>
        <v>309.57708815206195</v>
      </c>
      <c r="O171" s="4">
        <f>J171*O163</f>
        <v>309.57708815206195</v>
      </c>
      <c r="P171" s="4">
        <f>J171*P163</f>
        <v>185.74625289123716</v>
      </c>
      <c r="Q171" s="4">
        <f>SUM(K171:P171)</f>
        <v>7832.3003302471679</v>
      </c>
      <c r="R171" s="4">
        <f>Q171*R163</f>
        <v>1566.4600660494336</v>
      </c>
      <c r="S171" s="5">
        <f>Q171+R171</f>
        <v>9398.7603962966023</v>
      </c>
      <c r="V171" t="s">
        <v>33</v>
      </c>
    </row>
    <row r="174" spans="1:22" x14ac:dyDescent="0.35">
      <c r="H174" s="10">
        <v>25.4</v>
      </c>
      <c r="I174" s="12">
        <v>38</v>
      </c>
      <c r="J174" s="12">
        <v>30</v>
      </c>
      <c r="K174" s="12">
        <v>12</v>
      </c>
    </row>
    <row r="175" spans="1:22" x14ac:dyDescent="0.35">
      <c r="I175">
        <f>I174*$H$16</f>
        <v>965.19999999999993</v>
      </c>
      <c r="J175">
        <f>J174*$H$16</f>
        <v>762</v>
      </c>
      <c r="K175">
        <f>K174*$H$16</f>
        <v>304.79999999999995</v>
      </c>
    </row>
    <row r="176" spans="1:22" ht="18.5" x14ac:dyDescent="0.45">
      <c r="A176" s="1">
        <v>13</v>
      </c>
      <c r="B176" s="1"/>
      <c r="C176" s="1"/>
      <c r="D176" s="1"/>
      <c r="E176" s="1"/>
      <c r="F176" s="1"/>
      <c r="G176" s="1"/>
      <c r="H176" s="18" t="s">
        <v>38</v>
      </c>
      <c r="I176" s="19"/>
      <c r="J176" s="19"/>
      <c r="K176" s="19"/>
      <c r="L176" s="19"/>
      <c r="M176" s="20"/>
      <c r="N176" s="1"/>
      <c r="O176" s="1"/>
      <c r="P176" s="1"/>
      <c r="Q176" s="1"/>
      <c r="R176" s="1"/>
      <c r="S176" s="1"/>
    </row>
    <row r="177" spans="1:22" ht="15.5" x14ac:dyDescent="0.35">
      <c r="A177" s="4" t="s">
        <v>7</v>
      </c>
      <c r="B177" s="4" t="s">
        <v>8</v>
      </c>
      <c r="C177" s="4" t="s">
        <v>9</v>
      </c>
      <c r="D177" s="4" t="s">
        <v>24</v>
      </c>
      <c r="E177" s="4" t="s">
        <v>10</v>
      </c>
      <c r="F177" s="4" t="s">
        <v>25</v>
      </c>
      <c r="G177" s="4" t="s">
        <v>26</v>
      </c>
      <c r="H177" s="4" t="s">
        <v>1</v>
      </c>
      <c r="I177" s="4" t="s">
        <v>11</v>
      </c>
      <c r="J177" s="4" t="s">
        <v>29</v>
      </c>
      <c r="K177" s="4" t="s">
        <v>12</v>
      </c>
      <c r="L177" s="4" t="s">
        <v>13</v>
      </c>
      <c r="M177" s="4" t="s">
        <v>14</v>
      </c>
      <c r="N177" s="4" t="s">
        <v>6</v>
      </c>
      <c r="O177" s="4" t="s">
        <v>15</v>
      </c>
      <c r="P177" s="4" t="s">
        <v>16</v>
      </c>
      <c r="Q177" s="4" t="s">
        <v>0</v>
      </c>
      <c r="R177" s="4" t="s">
        <v>17</v>
      </c>
      <c r="S177" s="4" t="s">
        <v>18</v>
      </c>
    </row>
    <row r="178" spans="1:22" x14ac:dyDescent="0.35">
      <c r="A178" s="2">
        <v>1</v>
      </c>
      <c r="B178" s="2" t="s">
        <v>22</v>
      </c>
      <c r="C178" s="2" t="s">
        <v>21</v>
      </c>
      <c r="D178" s="2" t="s">
        <v>2</v>
      </c>
      <c r="E178" s="2">
        <f>I175+100</f>
        <v>1065.1999999999998</v>
      </c>
      <c r="F178" s="2">
        <f>J175+40</f>
        <v>802</v>
      </c>
      <c r="G178" s="11">
        <v>16</v>
      </c>
      <c r="H178" s="2">
        <v>2</v>
      </c>
      <c r="I178" s="2">
        <f t="shared" ref="I178:I185" si="26">E178*F178*G178*H178/304.8/304.8/304.8</f>
        <v>0.96540738429974937</v>
      </c>
      <c r="J178" s="2">
        <f>I186*10%</f>
        <v>0.24372971932368476</v>
      </c>
      <c r="K178" s="2">
        <v>925</v>
      </c>
      <c r="L178" s="2">
        <v>190</v>
      </c>
      <c r="M178" s="6">
        <v>20</v>
      </c>
      <c r="N178" s="6">
        <v>50</v>
      </c>
      <c r="O178" s="6">
        <v>50</v>
      </c>
      <c r="P178" s="6">
        <v>30</v>
      </c>
      <c r="Q178" s="6"/>
      <c r="R178" s="7">
        <v>0.2</v>
      </c>
      <c r="S178" s="6"/>
    </row>
    <row r="179" spans="1:22" x14ac:dyDescent="0.35">
      <c r="A179" s="2">
        <v>2</v>
      </c>
      <c r="B179" s="2" t="s">
        <v>22</v>
      </c>
      <c r="C179" s="2" t="s">
        <v>21</v>
      </c>
      <c r="D179" s="2" t="s">
        <v>3</v>
      </c>
      <c r="E179" s="2">
        <f>I175+100</f>
        <v>1065.1999999999998</v>
      </c>
      <c r="F179" s="2">
        <f>K175</f>
        <v>304.79999999999995</v>
      </c>
      <c r="G179" s="11">
        <v>16</v>
      </c>
      <c r="H179" s="2">
        <v>2</v>
      </c>
      <c r="I179" s="2">
        <f t="shared" si="26"/>
        <v>0.36690295602813411</v>
      </c>
      <c r="J179" s="2"/>
      <c r="K179" s="2"/>
      <c r="L179" s="2"/>
      <c r="M179" s="6"/>
      <c r="N179" s="6"/>
      <c r="O179" s="6"/>
      <c r="P179" s="6"/>
      <c r="Q179" s="6"/>
      <c r="R179" s="6"/>
      <c r="S179" s="6"/>
    </row>
    <row r="180" spans="1:22" x14ac:dyDescent="0.35">
      <c r="A180" s="2">
        <v>3</v>
      </c>
      <c r="B180" s="2" t="s">
        <v>22</v>
      </c>
      <c r="C180" s="2" t="s">
        <v>21</v>
      </c>
      <c r="D180" s="2" t="s">
        <v>4</v>
      </c>
      <c r="E180" s="2">
        <v>762</v>
      </c>
      <c r="F180" s="2">
        <f>K175</f>
        <v>304.79999999999995</v>
      </c>
      <c r="G180" s="11">
        <v>16</v>
      </c>
      <c r="H180" s="2">
        <v>2</v>
      </c>
      <c r="I180" s="2">
        <f t="shared" si="26"/>
        <v>0.26246719160104981</v>
      </c>
      <c r="J180" s="2"/>
      <c r="K180" s="2"/>
      <c r="L180" s="2"/>
      <c r="M180" s="6"/>
      <c r="N180" s="6"/>
      <c r="O180" s="6"/>
      <c r="P180" s="6"/>
      <c r="Q180" s="6"/>
      <c r="R180" s="6"/>
      <c r="S180" s="6"/>
    </row>
    <row r="181" spans="1:22" x14ac:dyDescent="0.35">
      <c r="A181" s="2">
        <v>4</v>
      </c>
      <c r="B181" s="2" t="s">
        <v>22</v>
      </c>
      <c r="C181" s="2" t="s">
        <v>21</v>
      </c>
      <c r="D181" s="2" t="s">
        <v>19</v>
      </c>
      <c r="E181" s="2">
        <f>J175+40</f>
        <v>802</v>
      </c>
      <c r="F181" s="11">
        <v>75</v>
      </c>
      <c r="G181" s="11">
        <v>19</v>
      </c>
      <c r="H181" s="13">
        <v>2</v>
      </c>
      <c r="I181" s="2">
        <f t="shared" si="26"/>
        <v>8.0718733725306455E-2</v>
      </c>
      <c r="J181" s="2"/>
      <c r="K181" s="2"/>
      <c r="L181" s="2"/>
      <c r="M181" s="6"/>
      <c r="N181" s="6"/>
      <c r="O181" s="6"/>
      <c r="P181" s="6"/>
      <c r="Q181" s="6"/>
      <c r="R181" s="6"/>
      <c r="S181" s="6"/>
    </row>
    <row r="182" spans="1:22" x14ac:dyDescent="0.35">
      <c r="A182" s="2">
        <v>5</v>
      </c>
      <c r="B182" s="2" t="s">
        <v>22</v>
      </c>
      <c r="C182" s="2" t="s">
        <v>21</v>
      </c>
      <c r="D182" s="2" t="s">
        <v>20</v>
      </c>
      <c r="E182" s="2">
        <f>J175+40</f>
        <v>802</v>
      </c>
      <c r="F182" s="11">
        <v>100</v>
      </c>
      <c r="G182" s="11">
        <v>75</v>
      </c>
      <c r="H182" s="13">
        <v>2</v>
      </c>
      <c r="I182" s="2">
        <f t="shared" si="26"/>
        <v>0.42483544065950773</v>
      </c>
      <c r="J182" s="2"/>
      <c r="K182" s="2"/>
      <c r="L182" s="2"/>
      <c r="M182" s="6"/>
      <c r="N182" s="6"/>
      <c r="O182" s="6"/>
      <c r="P182" s="6"/>
      <c r="Q182" s="6"/>
      <c r="R182" s="6"/>
      <c r="S182" s="6"/>
    </row>
    <row r="183" spans="1:22" x14ac:dyDescent="0.35">
      <c r="A183" s="2">
        <v>6</v>
      </c>
      <c r="B183" s="2" t="s">
        <v>22</v>
      </c>
      <c r="C183" s="2" t="s">
        <v>21</v>
      </c>
      <c r="D183" s="2" t="s">
        <v>5</v>
      </c>
      <c r="E183" s="2">
        <v>454.8</v>
      </c>
      <c r="F183" s="11">
        <v>75</v>
      </c>
      <c r="G183" s="11">
        <v>19</v>
      </c>
      <c r="H183" s="13">
        <v>4</v>
      </c>
      <c r="I183" s="2">
        <f t="shared" ref="I183:I184" si="27">E183*F183*G183*H183/304.8/304.8/304.8</f>
        <v>9.1548329422118158E-2</v>
      </c>
      <c r="J183" s="2"/>
      <c r="K183" s="2"/>
      <c r="L183" s="2"/>
      <c r="M183" s="6"/>
      <c r="N183" s="6"/>
      <c r="O183" s="6"/>
      <c r="P183" s="6"/>
      <c r="Q183" s="6"/>
      <c r="R183" s="6"/>
      <c r="S183" s="6"/>
    </row>
    <row r="184" spans="1:22" x14ac:dyDescent="0.35">
      <c r="A184" s="2">
        <v>7</v>
      </c>
      <c r="B184" s="2" t="s">
        <v>22</v>
      </c>
      <c r="C184" s="2" t="s">
        <v>21</v>
      </c>
      <c r="D184" s="2" t="s">
        <v>47</v>
      </c>
      <c r="E184" s="2">
        <v>304.8</v>
      </c>
      <c r="F184" s="11">
        <v>75</v>
      </c>
      <c r="G184" s="11">
        <v>19</v>
      </c>
      <c r="H184" s="13">
        <v>6</v>
      </c>
      <c r="I184" s="2">
        <f t="shared" si="27"/>
        <v>9.2031434062868123E-2</v>
      </c>
      <c r="J184" s="2"/>
      <c r="K184" s="2"/>
      <c r="L184" s="2"/>
      <c r="M184" s="6"/>
      <c r="N184" s="6"/>
      <c r="O184" s="6"/>
      <c r="P184" s="6"/>
      <c r="Q184" s="6"/>
      <c r="R184" s="6"/>
      <c r="S184" s="6"/>
    </row>
    <row r="185" spans="1:22" x14ac:dyDescent="0.35">
      <c r="A185" s="2">
        <v>8</v>
      </c>
      <c r="B185" s="2" t="s">
        <v>22</v>
      </c>
      <c r="C185" s="2" t="s">
        <v>21</v>
      </c>
      <c r="D185" s="2" t="s">
        <v>48</v>
      </c>
      <c r="E185" s="2">
        <v>762</v>
      </c>
      <c r="F185" s="11">
        <v>75</v>
      </c>
      <c r="G185" s="11">
        <v>19</v>
      </c>
      <c r="H185" s="13">
        <v>4</v>
      </c>
      <c r="I185" s="2">
        <f t="shared" si="26"/>
        <v>0.15338572343811355</v>
      </c>
      <c r="J185" s="2"/>
      <c r="K185" s="2"/>
      <c r="L185" s="2"/>
      <c r="M185" s="6"/>
      <c r="N185" s="6"/>
      <c r="O185" s="6"/>
      <c r="P185" s="6"/>
      <c r="Q185" s="6"/>
      <c r="R185" s="6"/>
      <c r="S185" s="6"/>
    </row>
    <row r="186" spans="1:22" ht="15.5" x14ac:dyDescent="0.35">
      <c r="A186" s="3"/>
      <c r="B186" s="3"/>
      <c r="C186" s="3"/>
      <c r="D186" s="3"/>
      <c r="E186" s="3"/>
      <c r="F186" s="3"/>
      <c r="G186" s="3"/>
      <c r="H186" s="3"/>
      <c r="I186" s="4">
        <f>SUM(I178:I185)</f>
        <v>2.4372971932368475</v>
      </c>
      <c r="J186" s="4">
        <f>J178+I186</f>
        <v>2.6810269125605322</v>
      </c>
      <c r="K186" s="4">
        <f>J186*K178</f>
        <v>2479.9498941184925</v>
      </c>
      <c r="L186" s="4">
        <f>J186*L178</f>
        <v>509.39511338650112</v>
      </c>
      <c r="M186" s="4">
        <f>J186*M178</f>
        <v>53.620538251210647</v>
      </c>
      <c r="N186" s="4">
        <f>J186*N178</f>
        <v>134.05134562802661</v>
      </c>
      <c r="O186" s="4">
        <f>J186*O178</f>
        <v>134.05134562802661</v>
      </c>
      <c r="P186" s="4">
        <f>J186*P178</f>
        <v>80.430807376815963</v>
      </c>
      <c r="Q186" s="4">
        <f>SUM(K186:P186)</f>
        <v>3391.4990443890733</v>
      </c>
      <c r="R186" s="4">
        <f>Q186*R178</f>
        <v>678.29980887781471</v>
      </c>
      <c r="S186" s="5">
        <f>Q186+R186</f>
        <v>4069.7988532668878</v>
      </c>
      <c r="V186" t="s">
        <v>33</v>
      </c>
    </row>
    <row r="189" spans="1:22" x14ac:dyDescent="0.35">
      <c r="H189" s="10">
        <v>25.4</v>
      </c>
      <c r="I189" s="12">
        <v>102</v>
      </c>
      <c r="J189" s="12">
        <v>35</v>
      </c>
      <c r="K189" s="12">
        <v>24</v>
      </c>
    </row>
    <row r="190" spans="1:22" x14ac:dyDescent="0.35">
      <c r="I190">
        <f>I189*$H$16</f>
        <v>2590.7999999999997</v>
      </c>
      <c r="J190">
        <f>J189*$H$16</f>
        <v>889</v>
      </c>
      <c r="K190">
        <f>K189*$H$16</f>
        <v>609.59999999999991</v>
      </c>
    </row>
    <row r="191" spans="1:22" ht="18.5" x14ac:dyDescent="0.45">
      <c r="A191" s="1">
        <v>14</v>
      </c>
      <c r="B191" s="1"/>
      <c r="C191" s="1"/>
      <c r="D191" s="1"/>
      <c r="E191" s="1"/>
      <c r="F191" s="1"/>
      <c r="G191" s="1"/>
      <c r="H191" s="18" t="s">
        <v>49</v>
      </c>
      <c r="I191" s="19"/>
      <c r="J191" s="19"/>
      <c r="K191" s="19"/>
      <c r="L191" s="19"/>
      <c r="M191" s="20"/>
      <c r="N191" s="1"/>
      <c r="O191" s="1"/>
      <c r="P191" s="1"/>
      <c r="Q191" s="1"/>
      <c r="R191" s="1"/>
      <c r="S191" s="1"/>
    </row>
    <row r="192" spans="1:22" ht="15.5" x14ac:dyDescent="0.35">
      <c r="A192" s="4" t="s">
        <v>7</v>
      </c>
      <c r="B192" s="4" t="s">
        <v>8</v>
      </c>
      <c r="C192" s="4" t="s">
        <v>9</v>
      </c>
      <c r="D192" s="4" t="s">
        <v>24</v>
      </c>
      <c r="E192" s="4" t="s">
        <v>10</v>
      </c>
      <c r="F192" s="4" t="s">
        <v>25</v>
      </c>
      <c r="G192" s="4" t="s">
        <v>26</v>
      </c>
      <c r="H192" s="4" t="s">
        <v>1</v>
      </c>
      <c r="I192" s="4" t="s">
        <v>11</v>
      </c>
      <c r="J192" s="4" t="s">
        <v>29</v>
      </c>
      <c r="K192" s="4" t="s">
        <v>12</v>
      </c>
      <c r="L192" s="4" t="s">
        <v>13</v>
      </c>
      <c r="M192" s="4" t="s">
        <v>14</v>
      </c>
      <c r="N192" s="4" t="s">
        <v>6</v>
      </c>
      <c r="O192" s="4" t="s">
        <v>15</v>
      </c>
      <c r="P192" s="4" t="s">
        <v>16</v>
      </c>
      <c r="Q192" s="4" t="s">
        <v>0</v>
      </c>
      <c r="R192" s="4" t="s">
        <v>17</v>
      </c>
      <c r="S192" s="4" t="s">
        <v>18</v>
      </c>
    </row>
    <row r="193" spans="1:22" x14ac:dyDescent="0.35">
      <c r="A193" s="2">
        <v>1</v>
      </c>
      <c r="B193" s="2" t="s">
        <v>22</v>
      </c>
      <c r="C193" s="2" t="s">
        <v>21</v>
      </c>
      <c r="D193" s="2" t="s">
        <v>2</v>
      </c>
      <c r="E193" s="2">
        <f>I190+100</f>
        <v>2690.7999999999997</v>
      </c>
      <c r="F193" s="2">
        <f>J190+40</f>
        <v>929</v>
      </c>
      <c r="G193" s="11">
        <v>16</v>
      </c>
      <c r="H193" s="2">
        <v>2</v>
      </c>
      <c r="I193" s="2">
        <f t="shared" ref="I193:I200" si="28">E193*F193*G193*H193/304.8/304.8/304.8</f>
        <v>2.8248944366071869</v>
      </c>
      <c r="J193" s="2">
        <f>I201*10%</f>
        <v>0.71310234458468325</v>
      </c>
      <c r="K193" s="2">
        <v>925</v>
      </c>
      <c r="L193" s="2">
        <v>190</v>
      </c>
      <c r="M193" s="6">
        <v>20</v>
      </c>
      <c r="N193" s="6">
        <v>50</v>
      </c>
      <c r="O193" s="6">
        <v>50</v>
      </c>
      <c r="P193" s="6">
        <v>30</v>
      </c>
      <c r="Q193" s="6"/>
      <c r="R193" s="7">
        <v>0.2</v>
      </c>
      <c r="S193" s="6"/>
    </row>
    <row r="194" spans="1:22" x14ac:dyDescent="0.35">
      <c r="A194" s="2">
        <v>2</v>
      </c>
      <c r="B194" s="2" t="s">
        <v>22</v>
      </c>
      <c r="C194" s="2" t="s">
        <v>21</v>
      </c>
      <c r="D194" s="2" t="s">
        <v>3</v>
      </c>
      <c r="E194" s="2">
        <f>I190+100</f>
        <v>2690.7999999999997</v>
      </c>
      <c r="F194" s="2">
        <f>K190</f>
        <v>609.59999999999991</v>
      </c>
      <c r="G194" s="11">
        <v>16</v>
      </c>
      <c r="H194" s="2">
        <v>2</v>
      </c>
      <c r="I194" s="2">
        <f t="shared" si="28"/>
        <v>1.8536659295540805</v>
      </c>
      <c r="J194" s="2"/>
      <c r="K194" s="2"/>
      <c r="L194" s="2"/>
      <c r="M194" s="6"/>
      <c r="N194" s="6"/>
      <c r="O194" s="6"/>
      <c r="P194" s="6"/>
      <c r="Q194" s="6"/>
      <c r="R194" s="6"/>
      <c r="S194" s="6"/>
    </row>
    <row r="195" spans="1:22" x14ac:dyDescent="0.35">
      <c r="A195" s="2">
        <v>3</v>
      </c>
      <c r="B195" s="2" t="s">
        <v>22</v>
      </c>
      <c r="C195" s="2" t="s">
        <v>21</v>
      </c>
      <c r="D195" s="2" t="s">
        <v>4</v>
      </c>
      <c r="E195" s="2">
        <v>889</v>
      </c>
      <c r="F195" s="2">
        <f>K190</f>
        <v>609.59999999999991</v>
      </c>
      <c r="G195" s="11">
        <v>16</v>
      </c>
      <c r="H195" s="2">
        <v>2</v>
      </c>
      <c r="I195" s="2">
        <f t="shared" si="28"/>
        <v>0.61242344706911611</v>
      </c>
      <c r="J195" s="2"/>
      <c r="K195" s="2"/>
      <c r="L195" s="2"/>
      <c r="M195" s="6"/>
      <c r="N195" s="6"/>
      <c r="O195" s="6"/>
      <c r="P195" s="6"/>
      <c r="Q195" s="6"/>
      <c r="R195" s="6"/>
      <c r="S195" s="6"/>
    </row>
    <row r="196" spans="1:22" x14ac:dyDescent="0.35">
      <c r="A196" s="2">
        <v>4</v>
      </c>
      <c r="B196" s="2" t="s">
        <v>22</v>
      </c>
      <c r="C196" s="2" t="s">
        <v>21</v>
      </c>
      <c r="D196" s="2" t="s">
        <v>19</v>
      </c>
      <c r="E196" s="2">
        <f>J190+40</f>
        <v>929</v>
      </c>
      <c r="F196" s="11">
        <v>75</v>
      </c>
      <c r="G196" s="11">
        <v>19</v>
      </c>
      <c r="H196" s="13">
        <v>4</v>
      </c>
      <c r="I196" s="2">
        <f t="shared" si="28"/>
        <v>0.18700175469029851</v>
      </c>
      <c r="J196" s="2"/>
      <c r="K196" s="2"/>
      <c r="L196" s="2"/>
      <c r="M196" s="6"/>
      <c r="N196" s="6"/>
      <c r="O196" s="6"/>
      <c r="P196" s="6"/>
      <c r="Q196" s="6"/>
      <c r="R196" s="6"/>
      <c r="S196" s="6"/>
    </row>
    <row r="197" spans="1:22" x14ac:dyDescent="0.35">
      <c r="A197" s="2">
        <v>5</v>
      </c>
      <c r="B197" s="2" t="s">
        <v>22</v>
      </c>
      <c r="C197" s="2" t="s">
        <v>21</v>
      </c>
      <c r="D197" s="2" t="s">
        <v>20</v>
      </c>
      <c r="E197" s="2">
        <f>J190+40</f>
        <v>929</v>
      </c>
      <c r="F197" s="11">
        <v>100</v>
      </c>
      <c r="G197" s="11">
        <v>75</v>
      </c>
      <c r="H197" s="13">
        <v>4</v>
      </c>
      <c r="I197" s="2">
        <f t="shared" si="28"/>
        <v>0.98421976152788693</v>
      </c>
      <c r="J197" s="2"/>
      <c r="K197" s="2"/>
      <c r="L197" s="2"/>
      <c r="M197" s="6"/>
      <c r="N197" s="6"/>
      <c r="O197" s="6"/>
      <c r="P197" s="6"/>
      <c r="Q197" s="6"/>
      <c r="R197" s="6"/>
      <c r="S197" s="6"/>
    </row>
    <row r="198" spans="1:22" x14ac:dyDescent="0.35">
      <c r="A198" s="2">
        <v>6</v>
      </c>
      <c r="B198" s="2" t="s">
        <v>22</v>
      </c>
      <c r="C198" s="2" t="s">
        <v>21</v>
      </c>
      <c r="D198" s="2" t="s">
        <v>5</v>
      </c>
      <c r="E198" s="2">
        <v>759.6</v>
      </c>
      <c r="F198" s="11">
        <v>75</v>
      </c>
      <c r="G198" s="11">
        <v>19</v>
      </c>
      <c r="H198" s="13">
        <v>8</v>
      </c>
      <c r="I198" s="2">
        <f t="shared" ref="I198:I199" si="29">E198*F198*G198*H198/304.8/304.8/304.8</f>
        <v>0.30580523759472716</v>
      </c>
      <c r="J198" s="2"/>
      <c r="K198" s="2"/>
      <c r="L198" s="2"/>
      <c r="M198" s="6"/>
      <c r="N198" s="6"/>
      <c r="O198" s="6"/>
      <c r="P198" s="6"/>
      <c r="Q198" s="6"/>
      <c r="R198" s="6"/>
      <c r="S198" s="6"/>
    </row>
    <row r="199" spans="1:22" x14ac:dyDescent="0.35">
      <c r="A199" s="2">
        <v>7</v>
      </c>
      <c r="B199" s="2" t="s">
        <v>22</v>
      </c>
      <c r="C199" s="2" t="s">
        <v>21</v>
      </c>
      <c r="D199" s="2" t="s">
        <v>47</v>
      </c>
      <c r="E199" s="2">
        <v>609.6</v>
      </c>
      <c r="F199" s="11">
        <v>75</v>
      </c>
      <c r="G199" s="11">
        <v>19</v>
      </c>
      <c r="H199" s="13">
        <v>6</v>
      </c>
      <c r="I199" s="2">
        <f t="shared" si="29"/>
        <v>0.18406286812573625</v>
      </c>
      <c r="J199" s="2"/>
      <c r="K199" s="2"/>
      <c r="L199" s="2"/>
      <c r="M199" s="6"/>
      <c r="N199" s="6"/>
      <c r="O199" s="6"/>
      <c r="P199" s="6"/>
      <c r="Q199" s="6"/>
      <c r="R199" s="6"/>
      <c r="S199" s="6"/>
    </row>
    <row r="200" spans="1:22" x14ac:dyDescent="0.35">
      <c r="A200" s="2">
        <v>8</v>
      </c>
      <c r="B200" s="2" t="s">
        <v>22</v>
      </c>
      <c r="C200" s="2" t="s">
        <v>21</v>
      </c>
      <c r="D200" s="2" t="s">
        <v>48</v>
      </c>
      <c r="E200" s="2">
        <v>889</v>
      </c>
      <c r="F200" s="11">
        <v>75</v>
      </c>
      <c r="G200" s="11">
        <v>19</v>
      </c>
      <c r="H200" s="13">
        <v>4</v>
      </c>
      <c r="I200" s="2">
        <f t="shared" si="28"/>
        <v>0.17895001067779912</v>
      </c>
      <c r="J200" s="2"/>
      <c r="K200" s="2"/>
      <c r="L200" s="2"/>
      <c r="M200" s="6"/>
      <c r="N200" s="6"/>
      <c r="O200" s="6"/>
      <c r="P200" s="6"/>
      <c r="Q200" s="6"/>
      <c r="R200" s="6"/>
      <c r="S200" s="6"/>
    </row>
    <row r="201" spans="1:22" ht="15.5" x14ac:dyDescent="0.35">
      <c r="A201" s="3"/>
      <c r="B201" s="3"/>
      <c r="C201" s="3"/>
      <c r="D201" s="3"/>
      <c r="E201" s="3"/>
      <c r="F201" s="3"/>
      <c r="G201" s="3"/>
      <c r="H201" s="3"/>
      <c r="I201" s="4">
        <f>SUM(I193:I200)</f>
        <v>7.1310234458468322</v>
      </c>
      <c r="J201" s="4">
        <f>J193+I201</f>
        <v>7.8441257904315158</v>
      </c>
      <c r="K201" s="4">
        <f>J201*K193</f>
        <v>7255.8163561491519</v>
      </c>
      <c r="L201" s="4">
        <f>J201*L193</f>
        <v>1490.3839001819881</v>
      </c>
      <c r="M201" s="4">
        <f>J201*M193</f>
        <v>156.88251580863033</v>
      </c>
      <c r="N201" s="4">
        <f>J201*N193</f>
        <v>392.2062895215758</v>
      </c>
      <c r="O201" s="4">
        <f>J201*O193</f>
        <v>392.2062895215758</v>
      </c>
      <c r="P201" s="4">
        <f>J201*P193</f>
        <v>235.32377371294547</v>
      </c>
      <c r="Q201" s="4">
        <f>SUM(K201:P201)</f>
        <v>9922.8191248958665</v>
      </c>
      <c r="R201" s="4">
        <f>Q201*R193</f>
        <v>1984.5638249791734</v>
      </c>
      <c r="S201" s="5">
        <f>Q201+R201</f>
        <v>11907.38294987504</v>
      </c>
      <c r="V201" t="s">
        <v>33</v>
      </c>
    </row>
    <row r="204" spans="1:22" x14ac:dyDescent="0.35">
      <c r="H204" s="10">
        <v>25.4</v>
      </c>
      <c r="I204" s="12">
        <v>42</v>
      </c>
      <c r="J204" s="12">
        <v>35</v>
      </c>
      <c r="K204" s="12">
        <v>15</v>
      </c>
    </row>
    <row r="205" spans="1:22" x14ac:dyDescent="0.35">
      <c r="I205">
        <f>I204*$H$16</f>
        <v>1066.8</v>
      </c>
      <c r="J205">
        <f>J204*$H$16</f>
        <v>889</v>
      </c>
      <c r="K205">
        <f>K204*$H$16</f>
        <v>381</v>
      </c>
    </row>
    <row r="206" spans="1:22" ht="18.5" x14ac:dyDescent="0.45">
      <c r="A206" s="1">
        <v>15</v>
      </c>
      <c r="B206" s="1"/>
      <c r="C206" s="1"/>
      <c r="D206" s="1"/>
      <c r="E206" s="1"/>
      <c r="F206" s="1"/>
      <c r="G206" s="1"/>
      <c r="H206" s="18" t="s">
        <v>44</v>
      </c>
      <c r="I206" s="19"/>
      <c r="J206" s="19"/>
      <c r="K206" s="19"/>
      <c r="L206" s="19"/>
      <c r="M206" s="20"/>
      <c r="N206" s="1"/>
      <c r="O206" s="1"/>
      <c r="P206" s="1"/>
      <c r="Q206" s="1"/>
      <c r="R206" s="1"/>
      <c r="S206" s="1"/>
    </row>
    <row r="207" spans="1:22" ht="15.5" x14ac:dyDescent="0.35">
      <c r="A207" s="4" t="s">
        <v>7</v>
      </c>
      <c r="B207" s="4" t="s">
        <v>8</v>
      </c>
      <c r="C207" s="4" t="s">
        <v>9</v>
      </c>
      <c r="D207" s="4" t="s">
        <v>24</v>
      </c>
      <c r="E207" s="4" t="s">
        <v>10</v>
      </c>
      <c r="F207" s="4" t="s">
        <v>25</v>
      </c>
      <c r="G207" s="4" t="s">
        <v>26</v>
      </c>
      <c r="H207" s="4" t="s">
        <v>1</v>
      </c>
      <c r="I207" s="4" t="s">
        <v>11</v>
      </c>
      <c r="J207" s="4" t="s">
        <v>29</v>
      </c>
      <c r="K207" s="4" t="s">
        <v>12</v>
      </c>
      <c r="L207" s="4" t="s">
        <v>13</v>
      </c>
      <c r="M207" s="4" t="s">
        <v>14</v>
      </c>
      <c r="N207" s="4" t="s">
        <v>6</v>
      </c>
      <c r="O207" s="4" t="s">
        <v>15</v>
      </c>
      <c r="P207" s="4" t="s">
        <v>16</v>
      </c>
      <c r="Q207" s="4" t="s">
        <v>0</v>
      </c>
      <c r="R207" s="4" t="s">
        <v>17</v>
      </c>
      <c r="S207" s="4" t="s">
        <v>18</v>
      </c>
    </row>
    <row r="208" spans="1:22" x14ac:dyDescent="0.35">
      <c r="A208" s="2">
        <v>1</v>
      </c>
      <c r="B208" s="2" t="s">
        <v>22</v>
      </c>
      <c r="C208" s="2" t="s">
        <v>21</v>
      </c>
      <c r="D208" s="2" t="s">
        <v>2</v>
      </c>
      <c r="E208" s="2">
        <f>I205+100</f>
        <v>1166.8</v>
      </c>
      <c r="F208" s="2">
        <f>J205+40</f>
        <v>929</v>
      </c>
      <c r="G208" s="11">
        <v>16</v>
      </c>
      <c r="H208" s="2">
        <v>2</v>
      </c>
      <c r="I208" s="2">
        <f t="shared" ref="I208:I215" si="30">E208*F208*G208*H208/304.8/304.8/304.8</f>
        <v>1.2249467922674544</v>
      </c>
      <c r="J208" s="2">
        <f>I216*10%</f>
        <v>0.30965716367857349</v>
      </c>
      <c r="K208" s="2">
        <v>925</v>
      </c>
      <c r="L208" s="2">
        <v>190</v>
      </c>
      <c r="M208" s="6">
        <v>20</v>
      </c>
      <c r="N208" s="6">
        <v>50</v>
      </c>
      <c r="O208" s="6">
        <v>50</v>
      </c>
      <c r="P208" s="6">
        <v>30</v>
      </c>
      <c r="Q208" s="6"/>
      <c r="R208" s="7">
        <v>0.2</v>
      </c>
      <c r="S208" s="6"/>
    </row>
    <row r="209" spans="1:22" x14ac:dyDescent="0.35">
      <c r="A209" s="2">
        <v>2</v>
      </c>
      <c r="B209" s="2" t="s">
        <v>22</v>
      </c>
      <c r="C209" s="2" t="s">
        <v>21</v>
      </c>
      <c r="D209" s="2" t="s">
        <v>3</v>
      </c>
      <c r="E209" s="2">
        <f>I205+100</f>
        <v>1166.8</v>
      </c>
      <c r="F209" s="2">
        <f>K205</f>
        <v>381</v>
      </c>
      <c r="G209" s="11">
        <v>16</v>
      </c>
      <c r="H209" s="2">
        <v>2</v>
      </c>
      <c r="I209" s="2">
        <f t="shared" si="30"/>
        <v>0.50237322696867615</v>
      </c>
      <c r="J209" s="2"/>
      <c r="K209" s="2"/>
      <c r="L209" s="2"/>
      <c r="M209" s="6"/>
      <c r="N209" s="6"/>
      <c r="O209" s="6"/>
      <c r="P209" s="6"/>
      <c r="Q209" s="6"/>
      <c r="R209" s="6"/>
      <c r="S209" s="6"/>
    </row>
    <row r="210" spans="1:22" x14ac:dyDescent="0.35">
      <c r="A210" s="2">
        <v>3</v>
      </c>
      <c r="B210" s="2" t="s">
        <v>22</v>
      </c>
      <c r="C210" s="2" t="s">
        <v>21</v>
      </c>
      <c r="D210" s="2" t="s">
        <v>4</v>
      </c>
      <c r="E210" s="2">
        <v>889</v>
      </c>
      <c r="F210" s="2">
        <f>K205</f>
        <v>381</v>
      </c>
      <c r="G210" s="11">
        <v>16</v>
      </c>
      <c r="H210" s="2">
        <v>2</v>
      </c>
      <c r="I210" s="2">
        <f t="shared" si="30"/>
        <v>0.38276465441819768</v>
      </c>
      <c r="J210" s="2"/>
      <c r="K210" s="2"/>
      <c r="L210" s="2"/>
      <c r="M210" s="6"/>
      <c r="N210" s="6"/>
      <c r="O210" s="6"/>
      <c r="P210" s="6"/>
      <c r="Q210" s="6"/>
      <c r="R210" s="6"/>
      <c r="S210" s="6"/>
    </row>
    <row r="211" spans="1:22" x14ac:dyDescent="0.35">
      <c r="A211" s="2">
        <v>4</v>
      </c>
      <c r="B211" s="2" t="s">
        <v>22</v>
      </c>
      <c r="C211" s="2" t="s">
        <v>21</v>
      </c>
      <c r="D211" s="2" t="s">
        <v>19</v>
      </c>
      <c r="E211" s="2">
        <f>J205+40</f>
        <v>929</v>
      </c>
      <c r="F211" s="11">
        <v>75</v>
      </c>
      <c r="G211" s="11">
        <v>19</v>
      </c>
      <c r="H211" s="13">
        <v>2</v>
      </c>
      <c r="I211" s="2">
        <f t="shared" si="30"/>
        <v>9.3500877345149253E-2</v>
      </c>
      <c r="J211" s="2"/>
      <c r="K211" s="2"/>
      <c r="L211" s="2"/>
      <c r="M211" s="6"/>
      <c r="N211" s="6"/>
      <c r="O211" s="6"/>
      <c r="P211" s="6"/>
      <c r="Q211" s="6"/>
      <c r="R211" s="6"/>
      <c r="S211" s="6"/>
    </row>
    <row r="212" spans="1:22" x14ac:dyDescent="0.35">
      <c r="A212" s="2">
        <v>5</v>
      </c>
      <c r="B212" s="2" t="s">
        <v>22</v>
      </c>
      <c r="C212" s="2" t="s">
        <v>21</v>
      </c>
      <c r="D212" s="2" t="s">
        <v>20</v>
      </c>
      <c r="E212" s="2">
        <f>J205+40</f>
        <v>929</v>
      </c>
      <c r="F212" s="11">
        <v>100</v>
      </c>
      <c r="G212" s="11">
        <v>75</v>
      </c>
      <c r="H212" s="13">
        <v>2</v>
      </c>
      <c r="I212" s="2">
        <f t="shared" si="30"/>
        <v>0.49210988076394346</v>
      </c>
      <c r="J212" s="2"/>
      <c r="K212" s="2"/>
      <c r="L212" s="2"/>
      <c r="M212" s="6"/>
      <c r="N212" s="6"/>
      <c r="O212" s="6"/>
      <c r="P212" s="6"/>
      <c r="Q212" s="6"/>
      <c r="R212" s="6"/>
      <c r="S212" s="6"/>
    </row>
    <row r="213" spans="1:22" x14ac:dyDescent="0.35">
      <c r="A213" s="2">
        <v>6</v>
      </c>
      <c r="B213" s="2" t="s">
        <v>22</v>
      </c>
      <c r="C213" s="2" t="s">
        <v>21</v>
      </c>
      <c r="D213" s="2" t="s">
        <v>5</v>
      </c>
      <c r="E213" s="2">
        <v>531</v>
      </c>
      <c r="F213" s="11">
        <v>75</v>
      </c>
      <c r="G213" s="11">
        <v>19</v>
      </c>
      <c r="H213" s="13">
        <v>4</v>
      </c>
      <c r="I213" s="2">
        <f t="shared" ref="I213:I214" si="31">E213*F213*G213*H213/304.8/304.8/304.8</f>
        <v>0.10688690176592951</v>
      </c>
      <c r="J213" s="2"/>
      <c r="K213" s="2"/>
      <c r="L213" s="2"/>
      <c r="M213" s="6"/>
      <c r="N213" s="6"/>
      <c r="O213" s="6"/>
      <c r="P213" s="6"/>
      <c r="Q213" s="6"/>
      <c r="R213" s="6"/>
      <c r="S213" s="6"/>
    </row>
    <row r="214" spans="1:22" x14ac:dyDescent="0.35">
      <c r="A214" s="2">
        <v>7</v>
      </c>
      <c r="B214" s="2" t="s">
        <v>22</v>
      </c>
      <c r="C214" s="2" t="s">
        <v>21</v>
      </c>
      <c r="D214" s="2" t="s">
        <v>47</v>
      </c>
      <c r="E214" s="2">
        <v>381</v>
      </c>
      <c r="F214" s="11">
        <v>75</v>
      </c>
      <c r="G214" s="11">
        <v>19</v>
      </c>
      <c r="H214" s="13">
        <v>6</v>
      </c>
      <c r="I214" s="2">
        <f t="shared" si="31"/>
        <v>0.11503929257858515</v>
      </c>
      <c r="J214" s="2"/>
      <c r="K214" s="2"/>
      <c r="L214" s="2"/>
      <c r="M214" s="6"/>
      <c r="N214" s="6"/>
      <c r="O214" s="6"/>
      <c r="P214" s="6"/>
      <c r="Q214" s="6"/>
      <c r="R214" s="6"/>
      <c r="S214" s="6"/>
    </row>
    <row r="215" spans="1:22" x14ac:dyDescent="0.35">
      <c r="A215" s="2">
        <v>8</v>
      </c>
      <c r="B215" s="2" t="s">
        <v>22</v>
      </c>
      <c r="C215" s="2" t="s">
        <v>21</v>
      </c>
      <c r="D215" s="2" t="s">
        <v>48</v>
      </c>
      <c r="E215" s="2">
        <v>889</v>
      </c>
      <c r="F215" s="11">
        <v>75</v>
      </c>
      <c r="G215" s="11">
        <v>19</v>
      </c>
      <c r="H215" s="13">
        <v>4</v>
      </c>
      <c r="I215" s="2">
        <f t="shared" si="30"/>
        <v>0.17895001067779912</v>
      </c>
      <c r="J215" s="2"/>
      <c r="K215" s="2"/>
      <c r="L215" s="2"/>
      <c r="M215" s="6"/>
      <c r="N215" s="6"/>
      <c r="O215" s="6"/>
      <c r="P215" s="6"/>
      <c r="Q215" s="6"/>
      <c r="R215" s="6"/>
      <c r="S215" s="6"/>
    </row>
    <row r="216" spans="1:22" ht="15.5" x14ac:dyDescent="0.35">
      <c r="A216" s="3"/>
      <c r="B216" s="3"/>
      <c r="C216" s="3"/>
      <c r="D216" s="3"/>
      <c r="E216" s="3"/>
      <c r="F216" s="3"/>
      <c r="G216" s="3"/>
      <c r="H216" s="3"/>
      <c r="I216" s="4">
        <f>SUM(I208:I215)</f>
        <v>3.0965716367857348</v>
      </c>
      <c r="J216" s="4">
        <f>J208+I216</f>
        <v>3.4062288004643082</v>
      </c>
      <c r="K216" s="4">
        <f>J216*K208</f>
        <v>3150.7616404294849</v>
      </c>
      <c r="L216" s="4">
        <f>J216*L208</f>
        <v>647.18347208821854</v>
      </c>
      <c r="M216" s="4">
        <f>J216*M208</f>
        <v>68.124576009286159</v>
      </c>
      <c r="N216" s="4">
        <f>J216*N208</f>
        <v>170.3114400232154</v>
      </c>
      <c r="O216" s="4">
        <f>J216*O208</f>
        <v>170.3114400232154</v>
      </c>
      <c r="P216" s="4">
        <f>J216*P208</f>
        <v>102.18686401392925</v>
      </c>
      <c r="Q216" s="4">
        <f>SUM(K216:P216)</f>
        <v>4308.8794325873496</v>
      </c>
      <c r="R216" s="4">
        <f>Q216*R208</f>
        <v>861.77588651746998</v>
      </c>
      <c r="S216" s="5">
        <f>Q216+R216</f>
        <v>5170.6553191048197</v>
      </c>
      <c r="V216" t="s">
        <v>33</v>
      </c>
    </row>
    <row r="219" spans="1:22" x14ac:dyDescent="0.35">
      <c r="H219" s="10">
        <v>25.4</v>
      </c>
      <c r="I219" s="12">
        <v>38</v>
      </c>
      <c r="J219" s="12">
        <v>30</v>
      </c>
      <c r="K219" s="12">
        <v>15</v>
      </c>
    </row>
    <row r="220" spans="1:22" x14ac:dyDescent="0.35">
      <c r="I220">
        <f>I219*$H$16</f>
        <v>965.19999999999993</v>
      </c>
      <c r="J220">
        <f>J219*$H$16</f>
        <v>762</v>
      </c>
      <c r="K220">
        <f>K219*$H$16</f>
        <v>381</v>
      </c>
    </row>
    <row r="221" spans="1:22" ht="18.5" x14ac:dyDescent="0.45">
      <c r="A221" s="1">
        <v>16</v>
      </c>
      <c r="B221" s="1"/>
      <c r="C221" s="1"/>
      <c r="D221" s="1"/>
      <c r="E221" s="1"/>
      <c r="F221" s="1"/>
      <c r="G221" s="1"/>
      <c r="H221" s="18" t="s">
        <v>45</v>
      </c>
      <c r="I221" s="19"/>
      <c r="J221" s="19"/>
      <c r="K221" s="19"/>
      <c r="L221" s="19"/>
      <c r="M221" s="20"/>
      <c r="N221" s="1"/>
      <c r="O221" s="1"/>
      <c r="P221" s="1"/>
      <c r="Q221" s="1"/>
      <c r="R221" s="1"/>
      <c r="S221" s="1"/>
    </row>
    <row r="222" spans="1:22" ht="15.5" x14ac:dyDescent="0.35">
      <c r="A222" s="4" t="s">
        <v>7</v>
      </c>
      <c r="B222" s="4" t="s">
        <v>8</v>
      </c>
      <c r="C222" s="4" t="s">
        <v>9</v>
      </c>
      <c r="D222" s="4" t="s">
        <v>24</v>
      </c>
      <c r="E222" s="4" t="s">
        <v>10</v>
      </c>
      <c r="F222" s="4" t="s">
        <v>25</v>
      </c>
      <c r="G222" s="4" t="s">
        <v>26</v>
      </c>
      <c r="H222" s="4" t="s">
        <v>1</v>
      </c>
      <c r="I222" s="4" t="s">
        <v>11</v>
      </c>
      <c r="J222" s="4" t="s">
        <v>29</v>
      </c>
      <c r="K222" s="4" t="s">
        <v>12</v>
      </c>
      <c r="L222" s="4" t="s">
        <v>13</v>
      </c>
      <c r="M222" s="4" t="s">
        <v>14</v>
      </c>
      <c r="N222" s="4" t="s">
        <v>6</v>
      </c>
      <c r="O222" s="4" t="s">
        <v>15</v>
      </c>
      <c r="P222" s="4" t="s">
        <v>16</v>
      </c>
      <c r="Q222" s="4" t="s">
        <v>0</v>
      </c>
      <c r="R222" s="4" t="s">
        <v>17</v>
      </c>
      <c r="S222" s="4" t="s">
        <v>18</v>
      </c>
    </row>
    <row r="223" spans="1:22" x14ac:dyDescent="0.35">
      <c r="A223" s="2">
        <v>1</v>
      </c>
      <c r="B223" s="2" t="s">
        <v>22</v>
      </c>
      <c r="C223" s="2" t="s">
        <v>21</v>
      </c>
      <c r="D223" s="2" t="s">
        <v>2</v>
      </c>
      <c r="E223" s="2">
        <f>I220+100</f>
        <v>1065.1999999999998</v>
      </c>
      <c r="F223" s="2">
        <f>J220+40</f>
        <v>802</v>
      </c>
      <c r="G223" s="11">
        <v>16</v>
      </c>
      <c r="H223" s="2">
        <v>2</v>
      </c>
      <c r="I223" s="2">
        <f t="shared" ref="I223:I230" si="32">E223*F223*G223*H223/304.8/304.8/304.8</f>
        <v>0.96540738429974937</v>
      </c>
      <c r="J223" s="2">
        <f>I231*10%</f>
        <v>0.26329861610036714</v>
      </c>
      <c r="K223" s="2">
        <v>925</v>
      </c>
      <c r="L223" s="2">
        <v>190</v>
      </c>
      <c r="M223" s="6">
        <v>20</v>
      </c>
      <c r="N223" s="6">
        <v>50</v>
      </c>
      <c r="O223" s="6">
        <v>50</v>
      </c>
      <c r="P223" s="6">
        <v>30</v>
      </c>
      <c r="Q223" s="6"/>
      <c r="R223" s="7">
        <v>0.2</v>
      </c>
      <c r="S223" s="6"/>
    </row>
    <row r="224" spans="1:22" x14ac:dyDescent="0.35">
      <c r="A224" s="2">
        <v>2</v>
      </c>
      <c r="B224" s="2" t="s">
        <v>22</v>
      </c>
      <c r="C224" s="2" t="s">
        <v>21</v>
      </c>
      <c r="D224" s="2" t="s">
        <v>3</v>
      </c>
      <c r="E224" s="2">
        <f>I220+100</f>
        <v>1065.1999999999998</v>
      </c>
      <c r="F224" s="2">
        <f>K220</f>
        <v>381</v>
      </c>
      <c r="G224" s="11">
        <v>16</v>
      </c>
      <c r="H224" s="2">
        <v>2</v>
      </c>
      <c r="I224" s="2">
        <f t="shared" si="32"/>
        <v>0.45862869503516773</v>
      </c>
      <c r="J224" s="2"/>
      <c r="K224" s="2"/>
      <c r="L224" s="2"/>
      <c r="M224" s="6"/>
      <c r="N224" s="6"/>
      <c r="O224" s="6"/>
      <c r="P224" s="6"/>
      <c r="Q224" s="6"/>
      <c r="R224" s="6"/>
      <c r="S224" s="6"/>
    </row>
    <row r="225" spans="1:22" x14ac:dyDescent="0.35">
      <c r="A225" s="2">
        <v>3</v>
      </c>
      <c r="B225" s="2" t="s">
        <v>22</v>
      </c>
      <c r="C225" s="2" t="s">
        <v>21</v>
      </c>
      <c r="D225" s="2" t="s">
        <v>4</v>
      </c>
      <c r="E225" s="2">
        <v>762</v>
      </c>
      <c r="F225" s="2">
        <f>K220</f>
        <v>381</v>
      </c>
      <c r="G225" s="11">
        <v>16</v>
      </c>
      <c r="H225" s="2">
        <v>2</v>
      </c>
      <c r="I225" s="2">
        <f t="shared" si="32"/>
        <v>0.32808398950131235</v>
      </c>
      <c r="J225" s="2"/>
      <c r="K225" s="2"/>
      <c r="L225" s="2"/>
      <c r="M225" s="6"/>
      <c r="N225" s="6"/>
      <c r="O225" s="6"/>
      <c r="P225" s="6"/>
      <c r="Q225" s="6"/>
      <c r="R225" s="6"/>
      <c r="S225" s="6"/>
    </row>
    <row r="226" spans="1:22" x14ac:dyDescent="0.35">
      <c r="A226" s="2">
        <v>4</v>
      </c>
      <c r="B226" s="2" t="s">
        <v>22</v>
      </c>
      <c r="C226" s="2" t="s">
        <v>21</v>
      </c>
      <c r="D226" s="2" t="s">
        <v>19</v>
      </c>
      <c r="E226" s="2">
        <f>J220+40</f>
        <v>802</v>
      </c>
      <c r="F226" s="11">
        <v>75</v>
      </c>
      <c r="G226" s="11">
        <v>19</v>
      </c>
      <c r="H226" s="13">
        <v>2</v>
      </c>
      <c r="I226" s="2">
        <f t="shared" si="32"/>
        <v>8.0718733725306455E-2</v>
      </c>
      <c r="J226" s="2"/>
      <c r="K226" s="2"/>
      <c r="L226" s="2"/>
      <c r="M226" s="6"/>
      <c r="N226" s="6"/>
      <c r="O226" s="6"/>
      <c r="P226" s="6"/>
      <c r="Q226" s="6"/>
      <c r="R226" s="6"/>
      <c r="S226" s="6"/>
    </row>
    <row r="227" spans="1:22" x14ac:dyDescent="0.35">
      <c r="A227" s="2">
        <v>5</v>
      </c>
      <c r="B227" s="2" t="s">
        <v>22</v>
      </c>
      <c r="C227" s="2" t="s">
        <v>21</v>
      </c>
      <c r="D227" s="2" t="s">
        <v>20</v>
      </c>
      <c r="E227" s="2">
        <f>J220+40</f>
        <v>802</v>
      </c>
      <c r="F227" s="11">
        <v>100</v>
      </c>
      <c r="G227" s="11">
        <v>75</v>
      </c>
      <c r="H227" s="13">
        <v>2</v>
      </c>
      <c r="I227" s="2">
        <f t="shared" si="32"/>
        <v>0.42483544065950773</v>
      </c>
      <c r="J227" s="2"/>
      <c r="K227" s="2"/>
      <c r="L227" s="2"/>
      <c r="M227" s="6"/>
      <c r="N227" s="6"/>
      <c r="O227" s="6"/>
      <c r="P227" s="6"/>
      <c r="Q227" s="6"/>
      <c r="R227" s="6"/>
      <c r="S227" s="6"/>
    </row>
    <row r="228" spans="1:22" x14ac:dyDescent="0.35">
      <c r="A228" s="2">
        <v>6</v>
      </c>
      <c r="B228" s="2" t="s">
        <v>22</v>
      </c>
      <c r="C228" s="2" t="s">
        <v>21</v>
      </c>
      <c r="D228" s="2" t="s">
        <v>5</v>
      </c>
      <c r="E228" s="2">
        <v>531</v>
      </c>
      <c r="F228" s="11">
        <v>75</v>
      </c>
      <c r="G228" s="11">
        <v>19</v>
      </c>
      <c r="H228" s="13">
        <v>4</v>
      </c>
      <c r="I228" s="2">
        <f t="shared" ref="I228:I229" si="33">E228*F228*G228*H228/304.8/304.8/304.8</f>
        <v>0.10688690176592951</v>
      </c>
      <c r="J228" s="2"/>
      <c r="K228" s="2"/>
      <c r="L228" s="2"/>
      <c r="M228" s="6"/>
      <c r="N228" s="6"/>
      <c r="O228" s="6"/>
      <c r="P228" s="6"/>
      <c r="Q228" s="6"/>
      <c r="R228" s="6"/>
      <c r="S228" s="6"/>
    </row>
    <row r="229" spans="1:22" x14ac:dyDescent="0.35">
      <c r="A229" s="2">
        <v>7</v>
      </c>
      <c r="B229" s="2" t="s">
        <v>22</v>
      </c>
      <c r="C229" s="2" t="s">
        <v>21</v>
      </c>
      <c r="D229" s="2" t="s">
        <v>47</v>
      </c>
      <c r="E229" s="2">
        <v>381</v>
      </c>
      <c r="F229" s="11">
        <v>75</v>
      </c>
      <c r="G229" s="11">
        <v>19</v>
      </c>
      <c r="H229" s="13">
        <v>6</v>
      </c>
      <c r="I229" s="2">
        <f t="shared" si="33"/>
        <v>0.11503929257858515</v>
      </c>
      <c r="J229" s="2"/>
      <c r="K229" s="2"/>
      <c r="L229" s="2"/>
      <c r="M229" s="6"/>
      <c r="N229" s="6"/>
      <c r="O229" s="6"/>
      <c r="P229" s="6"/>
      <c r="Q229" s="6"/>
      <c r="R229" s="6"/>
      <c r="S229" s="6"/>
    </row>
    <row r="230" spans="1:22" x14ac:dyDescent="0.35">
      <c r="A230" s="2">
        <v>8</v>
      </c>
      <c r="B230" s="2" t="s">
        <v>22</v>
      </c>
      <c r="C230" s="2" t="s">
        <v>21</v>
      </c>
      <c r="D230" s="2" t="s">
        <v>48</v>
      </c>
      <c r="E230" s="2">
        <v>762</v>
      </c>
      <c r="F230" s="11">
        <v>75</v>
      </c>
      <c r="G230" s="11">
        <v>19</v>
      </c>
      <c r="H230" s="13">
        <v>4</v>
      </c>
      <c r="I230" s="2">
        <f t="shared" si="32"/>
        <v>0.15338572343811355</v>
      </c>
      <c r="J230" s="2"/>
      <c r="K230" s="2"/>
      <c r="L230" s="2"/>
      <c r="M230" s="6"/>
      <c r="N230" s="6"/>
      <c r="O230" s="6"/>
      <c r="P230" s="6"/>
      <c r="Q230" s="6"/>
      <c r="R230" s="6"/>
      <c r="S230" s="6"/>
    </row>
    <row r="231" spans="1:22" ht="15.5" x14ac:dyDescent="0.35">
      <c r="A231" s="3"/>
      <c r="B231" s="3"/>
      <c r="C231" s="3"/>
      <c r="D231" s="3"/>
      <c r="E231" s="3"/>
      <c r="F231" s="3"/>
      <c r="G231" s="3"/>
      <c r="H231" s="3"/>
      <c r="I231" s="4">
        <f>SUM(I223:I230)</f>
        <v>2.6329861610036716</v>
      </c>
      <c r="J231" s="4">
        <f>J223+I231</f>
        <v>2.8962847771040385</v>
      </c>
      <c r="K231" s="4">
        <f>J231*K223</f>
        <v>2679.0634188212357</v>
      </c>
      <c r="L231" s="4">
        <f>J231*L223</f>
        <v>550.29410764976728</v>
      </c>
      <c r="M231" s="4">
        <f>J231*M223</f>
        <v>57.925695542080774</v>
      </c>
      <c r="N231" s="4">
        <f>J231*N223</f>
        <v>144.81423885520192</v>
      </c>
      <c r="O231" s="4">
        <f>J231*O223</f>
        <v>144.81423885520192</v>
      </c>
      <c r="P231" s="4">
        <f>J231*P223</f>
        <v>86.888543313121161</v>
      </c>
      <c r="Q231" s="4">
        <f>SUM(K231:P231)</f>
        <v>3663.8002430366087</v>
      </c>
      <c r="R231" s="4">
        <f>Q231*R223</f>
        <v>732.76004860732178</v>
      </c>
      <c r="S231" s="5">
        <f>Q231+R231</f>
        <v>4396.5602916439302</v>
      </c>
      <c r="V231" t="s">
        <v>33</v>
      </c>
    </row>
    <row r="234" spans="1:22" x14ac:dyDescent="0.35">
      <c r="H234" s="10">
        <v>25.4</v>
      </c>
      <c r="I234" s="12">
        <v>38</v>
      </c>
      <c r="J234" s="12">
        <v>35</v>
      </c>
      <c r="K234" s="12">
        <v>30</v>
      </c>
    </row>
    <row r="235" spans="1:22" x14ac:dyDescent="0.35">
      <c r="I235">
        <f>I234*$H$16</f>
        <v>965.19999999999993</v>
      </c>
      <c r="J235">
        <f>J234*$H$16</f>
        <v>889</v>
      </c>
      <c r="K235">
        <f>K234*$H$16</f>
        <v>762</v>
      </c>
    </row>
    <row r="236" spans="1:22" ht="18.5" x14ac:dyDescent="0.45">
      <c r="A236" s="1">
        <v>17</v>
      </c>
      <c r="B236" s="1"/>
      <c r="C236" s="1"/>
      <c r="D236" s="1"/>
      <c r="E236" s="1"/>
      <c r="F236" s="1"/>
      <c r="G236" s="1"/>
      <c r="H236" s="18" t="s">
        <v>46</v>
      </c>
      <c r="I236" s="19"/>
      <c r="J236" s="19"/>
      <c r="K236" s="19"/>
      <c r="L236" s="19"/>
      <c r="M236" s="20"/>
      <c r="N236" s="1"/>
      <c r="O236" s="1"/>
      <c r="P236" s="1"/>
      <c r="Q236" s="1"/>
      <c r="R236" s="1"/>
      <c r="S236" s="1"/>
    </row>
    <row r="237" spans="1:22" ht="15.5" x14ac:dyDescent="0.35">
      <c r="A237" s="4" t="s">
        <v>7</v>
      </c>
      <c r="B237" s="4" t="s">
        <v>8</v>
      </c>
      <c r="C237" s="4" t="s">
        <v>9</v>
      </c>
      <c r="D237" s="4" t="s">
        <v>24</v>
      </c>
      <c r="E237" s="4" t="s">
        <v>10</v>
      </c>
      <c r="F237" s="4" t="s">
        <v>25</v>
      </c>
      <c r="G237" s="4" t="s">
        <v>26</v>
      </c>
      <c r="H237" s="4" t="s">
        <v>1</v>
      </c>
      <c r="I237" s="4" t="s">
        <v>11</v>
      </c>
      <c r="J237" s="4" t="s">
        <v>29</v>
      </c>
      <c r="K237" s="4" t="s">
        <v>12</v>
      </c>
      <c r="L237" s="4" t="s">
        <v>13</v>
      </c>
      <c r="M237" s="4" t="s">
        <v>14</v>
      </c>
      <c r="N237" s="4" t="s">
        <v>6</v>
      </c>
      <c r="O237" s="4" t="s">
        <v>15</v>
      </c>
      <c r="P237" s="4" t="s">
        <v>16</v>
      </c>
      <c r="Q237" s="4" t="s">
        <v>0</v>
      </c>
      <c r="R237" s="4" t="s">
        <v>17</v>
      </c>
      <c r="S237" s="4" t="s">
        <v>18</v>
      </c>
    </row>
    <row r="238" spans="1:22" x14ac:dyDescent="0.35">
      <c r="A238" s="2">
        <v>1</v>
      </c>
      <c r="B238" s="2" t="s">
        <v>22</v>
      </c>
      <c r="C238" s="2" t="s">
        <v>21</v>
      </c>
      <c r="D238" s="2" t="s">
        <v>2</v>
      </c>
      <c r="E238" s="2">
        <f>I235+100</f>
        <v>1065.1999999999998</v>
      </c>
      <c r="F238" s="2">
        <f>J235+40</f>
        <v>929</v>
      </c>
      <c r="G238" s="11">
        <v>16</v>
      </c>
      <c r="H238" s="2">
        <v>2</v>
      </c>
      <c r="I238" s="2">
        <f t="shared" ref="I238:I245" si="34">E238*F238*G238*H238/304.8/304.8/304.8</f>
        <v>1.1182836159781386</v>
      </c>
      <c r="J238" s="2">
        <f>I246*10%</f>
        <v>0.39792894323139183</v>
      </c>
      <c r="K238" s="2">
        <v>925</v>
      </c>
      <c r="L238" s="2">
        <v>190</v>
      </c>
      <c r="M238" s="6">
        <v>20</v>
      </c>
      <c r="N238" s="6">
        <v>50</v>
      </c>
      <c r="O238" s="6">
        <v>50</v>
      </c>
      <c r="P238" s="6">
        <v>30</v>
      </c>
      <c r="Q238" s="6"/>
      <c r="R238" s="7">
        <v>0.2</v>
      </c>
      <c r="S238" s="6"/>
    </row>
    <row r="239" spans="1:22" x14ac:dyDescent="0.35">
      <c r="A239" s="2">
        <v>2</v>
      </c>
      <c r="B239" s="2" t="s">
        <v>22</v>
      </c>
      <c r="C239" s="2" t="s">
        <v>21</v>
      </c>
      <c r="D239" s="2" t="s">
        <v>3</v>
      </c>
      <c r="E239" s="2">
        <f>I235+100</f>
        <v>1065.1999999999998</v>
      </c>
      <c r="F239" s="2">
        <f>K235</f>
        <v>762</v>
      </c>
      <c r="G239" s="11">
        <v>16</v>
      </c>
      <c r="H239" s="2">
        <v>2</v>
      </c>
      <c r="I239" s="2">
        <f t="shared" si="34"/>
        <v>0.91725739007033547</v>
      </c>
      <c r="J239" s="2"/>
      <c r="K239" s="2"/>
      <c r="L239" s="2"/>
      <c r="M239" s="6"/>
      <c r="N239" s="6"/>
      <c r="O239" s="6"/>
      <c r="P239" s="6"/>
      <c r="Q239" s="6"/>
      <c r="R239" s="6"/>
      <c r="S239" s="6"/>
    </row>
    <row r="240" spans="1:22" x14ac:dyDescent="0.35">
      <c r="A240" s="2">
        <v>3</v>
      </c>
      <c r="B240" s="2" t="s">
        <v>22</v>
      </c>
      <c r="C240" s="2" t="s">
        <v>21</v>
      </c>
      <c r="D240" s="2" t="s">
        <v>4</v>
      </c>
      <c r="E240" s="2">
        <v>889</v>
      </c>
      <c r="F240" s="2">
        <f>K235</f>
        <v>762</v>
      </c>
      <c r="G240" s="11">
        <v>16</v>
      </c>
      <c r="H240" s="2">
        <v>2</v>
      </c>
      <c r="I240" s="2">
        <f t="shared" si="34"/>
        <v>0.76552930883639536</v>
      </c>
      <c r="J240" s="2"/>
      <c r="K240" s="2"/>
      <c r="L240" s="2"/>
      <c r="M240" s="6"/>
      <c r="N240" s="6"/>
      <c r="O240" s="6"/>
      <c r="P240" s="6"/>
      <c r="Q240" s="6"/>
      <c r="R240" s="6"/>
      <c r="S240" s="6"/>
    </row>
    <row r="241" spans="1:22" x14ac:dyDescent="0.35">
      <c r="A241" s="2">
        <v>4</v>
      </c>
      <c r="B241" s="2" t="s">
        <v>22</v>
      </c>
      <c r="C241" s="2" t="s">
        <v>21</v>
      </c>
      <c r="D241" s="2" t="s">
        <v>19</v>
      </c>
      <c r="E241" s="2">
        <f>J235+40</f>
        <v>929</v>
      </c>
      <c r="F241" s="11">
        <v>75</v>
      </c>
      <c r="G241" s="11">
        <v>19</v>
      </c>
      <c r="H241" s="13">
        <v>2</v>
      </c>
      <c r="I241" s="2">
        <f t="shared" si="34"/>
        <v>9.3500877345149253E-2</v>
      </c>
      <c r="J241" s="2"/>
      <c r="K241" s="2"/>
      <c r="L241" s="2"/>
      <c r="M241" s="6"/>
      <c r="N241" s="6"/>
      <c r="O241" s="6"/>
      <c r="P241" s="6"/>
      <c r="Q241" s="6"/>
      <c r="R241" s="6"/>
      <c r="S241" s="6"/>
    </row>
    <row r="242" spans="1:22" x14ac:dyDescent="0.35">
      <c r="A242" s="2">
        <v>5</v>
      </c>
      <c r="B242" s="2" t="s">
        <v>22</v>
      </c>
      <c r="C242" s="2" t="s">
        <v>21</v>
      </c>
      <c r="D242" s="2" t="s">
        <v>20</v>
      </c>
      <c r="E242" s="2">
        <f>J235+40</f>
        <v>929</v>
      </c>
      <c r="F242" s="11">
        <v>100</v>
      </c>
      <c r="G242" s="11">
        <v>75</v>
      </c>
      <c r="H242" s="13">
        <v>2</v>
      </c>
      <c r="I242" s="2">
        <f t="shared" si="34"/>
        <v>0.49210988076394346</v>
      </c>
      <c r="J242" s="2"/>
      <c r="K242" s="2"/>
      <c r="L242" s="2"/>
      <c r="M242" s="6"/>
      <c r="N242" s="6"/>
      <c r="O242" s="6"/>
      <c r="P242" s="6"/>
      <c r="Q242" s="6"/>
      <c r="R242" s="6"/>
      <c r="S242" s="6"/>
    </row>
    <row r="243" spans="1:22" x14ac:dyDescent="0.35">
      <c r="A243" s="2">
        <v>6</v>
      </c>
      <c r="B243" s="2" t="s">
        <v>22</v>
      </c>
      <c r="C243" s="2" t="s">
        <v>21</v>
      </c>
      <c r="D243" s="2" t="s">
        <v>5</v>
      </c>
      <c r="E243" s="2">
        <v>912</v>
      </c>
      <c r="F243" s="11">
        <v>75</v>
      </c>
      <c r="G243" s="11">
        <v>19</v>
      </c>
      <c r="H243" s="13">
        <v>4</v>
      </c>
      <c r="I243" s="2">
        <f t="shared" ref="I243:I244" si="35">E243*F243*G243*H243/304.8/304.8/304.8</f>
        <v>0.18357976348498628</v>
      </c>
      <c r="J243" s="2"/>
      <c r="K243" s="2"/>
      <c r="L243" s="2"/>
      <c r="M243" s="6"/>
      <c r="N243" s="6"/>
      <c r="O243" s="6"/>
      <c r="P243" s="6"/>
      <c r="Q243" s="6"/>
      <c r="R243" s="6"/>
      <c r="S243" s="6"/>
    </row>
    <row r="244" spans="1:22" x14ac:dyDescent="0.35">
      <c r="A244" s="2">
        <v>7</v>
      </c>
      <c r="B244" s="2" t="s">
        <v>22</v>
      </c>
      <c r="C244" s="2" t="s">
        <v>21</v>
      </c>
      <c r="D244" s="2" t="s">
        <v>47</v>
      </c>
      <c r="E244" s="2">
        <v>762</v>
      </c>
      <c r="F244" s="11">
        <v>75</v>
      </c>
      <c r="G244" s="11">
        <v>19</v>
      </c>
      <c r="H244" s="13">
        <v>6</v>
      </c>
      <c r="I244" s="2">
        <f t="shared" si="35"/>
        <v>0.23007858515717031</v>
      </c>
      <c r="J244" s="2"/>
      <c r="K244" s="2"/>
      <c r="L244" s="2"/>
      <c r="M244" s="6"/>
      <c r="N244" s="6"/>
      <c r="O244" s="6"/>
      <c r="P244" s="6"/>
      <c r="Q244" s="6"/>
      <c r="R244" s="6"/>
      <c r="S244" s="6"/>
    </row>
    <row r="245" spans="1:22" x14ac:dyDescent="0.35">
      <c r="A245" s="2">
        <v>8</v>
      </c>
      <c r="B245" s="2" t="s">
        <v>22</v>
      </c>
      <c r="C245" s="2" t="s">
        <v>21</v>
      </c>
      <c r="D245" s="2" t="s">
        <v>48</v>
      </c>
      <c r="E245" s="2">
        <v>889</v>
      </c>
      <c r="F245" s="11">
        <v>75</v>
      </c>
      <c r="G245" s="11">
        <v>19</v>
      </c>
      <c r="H245" s="13">
        <v>4</v>
      </c>
      <c r="I245" s="2">
        <f t="shared" si="34"/>
        <v>0.17895001067779912</v>
      </c>
      <c r="J245" s="2"/>
      <c r="K245" s="2"/>
      <c r="L245" s="2"/>
      <c r="M245" s="6"/>
      <c r="N245" s="6"/>
      <c r="O245" s="6"/>
      <c r="P245" s="6"/>
      <c r="Q245" s="6"/>
      <c r="R245" s="6"/>
      <c r="S245" s="6"/>
    </row>
    <row r="246" spans="1:22" ht="15.5" x14ac:dyDescent="0.35">
      <c r="A246" s="3"/>
      <c r="B246" s="3"/>
      <c r="C246" s="3"/>
      <c r="D246" s="3"/>
      <c r="E246" s="3"/>
      <c r="F246" s="3"/>
      <c r="G246" s="3"/>
      <c r="H246" s="3"/>
      <c r="I246" s="4">
        <f>SUM(I238:I245)</f>
        <v>3.9792894323139181</v>
      </c>
      <c r="J246" s="4">
        <f>J238+I246</f>
        <v>4.3772183755453096</v>
      </c>
      <c r="K246" s="4">
        <f>J246*K238</f>
        <v>4048.9269973794112</v>
      </c>
      <c r="L246" s="4">
        <f>J246*L238</f>
        <v>831.67149135360887</v>
      </c>
      <c r="M246" s="4">
        <f>J246*M238</f>
        <v>87.544367510906199</v>
      </c>
      <c r="N246" s="4">
        <f>J246*N238</f>
        <v>218.86091877726548</v>
      </c>
      <c r="O246" s="4">
        <f>J246*O238</f>
        <v>218.86091877726548</v>
      </c>
      <c r="P246" s="4">
        <f>J246*P238</f>
        <v>131.31655126635928</v>
      </c>
      <c r="Q246" s="4">
        <f>SUM(K246:P246)</f>
        <v>5537.1812450648158</v>
      </c>
      <c r="R246" s="4">
        <f>Q246*R238</f>
        <v>1107.4362490129631</v>
      </c>
      <c r="S246" s="5">
        <f>Q246+R246</f>
        <v>6644.6174940777792</v>
      </c>
      <c r="V246" t="s">
        <v>33</v>
      </c>
    </row>
    <row r="253" spans="1:22" x14ac:dyDescent="0.35">
      <c r="H253" s="10">
        <v>25.4</v>
      </c>
      <c r="I253" s="12">
        <v>38</v>
      </c>
      <c r="J253" s="12">
        <v>40</v>
      </c>
      <c r="K253" s="12">
        <v>40</v>
      </c>
    </row>
    <row r="254" spans="1:22" x14ac:dyDescent="0.35">
      <c r="I254">
        <f>I253*$H$16</f>
        <v>965.19999999999993</v>
      </c>
      <c r="J254">
        <f>J253*$H$16</f>
        <v>1016</v>
      </c>
      <c r="K254">
        <f>K253*$H$16</f>
        <v>1016</v>
      </c>
    </row>
    <row r="255" spans="1:22" ht="18.5" x14ac:dyDescent="0.45">
      <c r="A255" s="1">
        <v>18</v>
      </c>
      <c r="B255" s="1"/>
      <c r="C255" s="1"/>
      <c r="D255" s="1"/>
      <c r="E255" s="1"/>
      <c r="F255" s="1"/>
      <c r="G255" s="1"/>
      <c r="H255" s="18" t="s">
        <v>55</v>
      </c>
      <c r="I255" s="19"/>
      <c r="J255" s="19"/>
      <c r="K255" s="19"/>
      <c r="L255" s="19"/>
      <c r="M255" s="20"/>
      <c r="N255" s="1"/>
      <c r="O255" s="1"/>
      <c r="P255" s="1"/>
      <c r="Q255" s="1"/>
      <c r="R255" s="1"/>
      <c r="S255" s="1"/>
    </row>
    <row r="256" spans="1:22" ht="15.5" x14ac:dyDescent="0.35">
      <c r="A256" s="4" t="s">
        <v>7</v>
      </c>
      <c r="B256" s="4" t="s">
        <v>8</v>
      </c>
      <c r="C256" s="4" t="s">
        <v>9</v>
      </c>
      <c r="D256" s="4" t="s">
        <v>24</v>
      </c>
      <c r="E256" s="4" t="s">
        <v>10</v>
      </c>
      <c r="F256" s="4" t="s">
        <v>25</v>
      </c>
      <c r="G256" s="4" t="s">
        <v>26</v>
      </c>
      <c r="H256" s="4" t="s">
        <v>1</v>
      </c>
      <c r="I256" s="4" t="s">
        <v>11</v>
      </c>
      <c r="J256" s="4" t="s">
        <v>29</v>
      </c>
      <c r="K256" s="4" t="s">
        <v>12</v>
      </c>
      <c r="L256" s="4" t="s">
        <v>13</v>
      </c>
      <c r="M256" s="4" t="s">
        <v>14</v>
      </c>
      <c r="N256" s="4" t="s">
        <v>6</v>
      </c>
      <c r="O256" s="4" t="s">
        <v>15</v>
      </c>
      <c r="P256" s="4" t="s">
        <v>16</v>
      </c>
      <c r="Q256" s="4" t="s">
        <v>0</v>
      </c>
      <c r="R256" s="4" t="s">
        <v>17</v>
      </c>
      <c r="S256" s="4" t="s">
        <v>18</v>
      </c>
    </row>
    <row r="257" spans="1:19" x14ac:dyDescent="0.35">
      <c r="A257" s="2">
        <v>1</v>
      </c>
      <c r="B257" s="2" t="s">
        <v>22</v>
      </c>
      <c r="C257" s="2" t="s">
        <v>21</v>
      </c>
      <c r="D257" s="2" t="s">
        <v>2</v>
      </c>
      <c r="E257" s="2">
        <f>I254+100</f>
        <v>1065.1999999999998</v>
      </c>
      <c r="F257" s="2">
        <f>J254+40</f>
        <v>1056</v>
      </c>
      <c r="G257" s="11">
        <v>16</v>
      </c>
      <c r="H257" s="2">
        <v>2</v>
      </c>
      <c r="I257" s="2">
        <f t="shared" ref="I257:I264" si="36">E257*F257*G257*H257/304.8/304.8/304.8</f>
        <v>1.2711598476565278</v>
      </c>
      <c r="J257" s="2">
        <f>I265*10%</f>
        <v>0.50723519772353043</v>
      </c>
      <c r="K257" s="2">
        <v>925</v>
      </c>
      <c r="L257" s="2">
        <v>190</v>
      </c>
      <c r="M257" s="6">
        <v>20</v>
      </c>
      <c r="N257" s="6">
        <v>50</v>
      </c>
      <c r="O257" s="6">
        <v>50</v>
      </c>
      <c r="P257" s="6">
        <v>30</v>
      </c>
      <c r="Q257" s="6"/>
      <c r="R257" s="7">
        <v>0.2</v>
      </c>
      <c r="S257" s="6"/>
    </row>
    <row r="258" spans="1:19" x14ac:dyDescent="0.35">
      <c r="A258" s="2">
        <v>2</v>
      </c>
      <c r="B258" s="2" t="s">
        <v>22</v>
      </c>
      <c r="C258" s="2" t="s">
        <v>21</v>
      </c>
      <c r="D258" s="2" t="s">
        <v>3</v>
      </c>
      <c r="E258" s="2">
        <f>I254+100</f>
        <v>1065.1999999999998</v>
      </c>
      <c r="F258" s="2">
        <f>K254</f>
        <v>1016</v>
      </c>
      <c r="G258" s="11">
        <v>16</v>
      </c>
      <c r="H258" s="2">
        <v>2</v>
      </c>
      <c r="I258" s="2">
        <f t="shared" si="36"/>
        <v>1.2230098534271139</v>
      </c>
      <c r="J258" s="2"/>
      <c r="K258" s="2"/>
      <c r="L258" s="2"/>
      <c r="M258" s="6"/>
      <c r="N258" s="6"/>
      <c r="O258" s="6"/>
      <c r="P258" s="6"/>
      <c r="Q258" s="6"/>
      <c r="R258" s="6"/>
      <c r="S258" s="6"/>
    </row>
    <row r="259" spans="1:19" x14ac:dyDescent="0.35">
      <c r="A259" s="2">
        <v>3</v>
      </c>
      <c r="B259" s="2" t="s">
        <v>22</v>
      </c>
      <c r="C259" s="2" t="s">
        <v>21</v>
      </c>
      <c r="D259" s="2" t="s">
        <v>4</v>
      </c>
      <c r="E259" s="2">
        <f>J254</f>
        <v>1016</v>
      </c>
      <c r="F259" s="2">
        <f>K254</f>
        <v>1016</v>
      </c>
      <c r="G259" s="11">
        <v>16</v>
      </c>
      <c r="H259" s="2">
        <v>2</v>
      </c>
      <c r="I259" s="2">
        <f t="shared" si="36"/>
        <v>1.1665208515602215</v>
      </c>
      <c r="J259" s="2"/>
      <c r="K259" s="2"/>
      <c r="L259" s="2"/>
      <c r="M259" s="6"/>
      <c r="N259" s="6"/>
      <c r="O259" s="6"/>
      <c r="P259" s="6"/>
      <c r="Q259" s="6"/>
      <c r="R259" s="6"/>
      <c r="S259" s="6"/>
    </row>
    <row r="260" spans="1:19" x14ac:dyDescent="0.35">
      <c r="A260" s="2">
        <v>4</v>
      </c>
      <c r="B260" s="2" t="s">
        <v>22</v>
      </c>
      <c r="C260" s="2" t="s">
        <v>21</v>
      </c>
      <c r="D260" s="2" t="s">
        <v>19</v>
      </c>
      <c r="E260" s="2">
        <f>J254+40</f>
        <v>1056</v>
      </c>
      <c r="F260" s="11">
        <v>75</v>
      </c>
      <c r="G260" s="11">
        <v>19</v>
      </c>
      <c r="H260" s="13">
        <v>2</v>
      </c>
      <c r="I260" s="2">
        <f t="shared" si="36"/>
        <v>0.10628302096499206</v>
      </c>
      <c r="J260" s="2"/>
      <c r="K260" s="2"/>
      <c r="L260" s="2"/>
      <c r="M260" s="6"/>
      <c r="N260" s="6"/>
      <c r="O260" s="6"/>
      <c r="P260" s="6"/>
      <c r="Q260" s="6"/>
      <c r="R260" s="6"/>
      <c r="S260" s="6"/>
    </row>
    <row r="261" spans="1:19" x14ac:dyDescent="0.35">
      <c r="A261" s="2">
        <v>5</v>
      </c>
      <c r="B261" s="2" t="s">
        <v>22</v>
      </c>
      <c r="C261" s="2" t="s">
        <v>21</v>
      </c>
      <c r="D261" s="2" t="s">
        <v>20</v>
      </c>
      <c r="E261" s="2">
        <f>J254+40</f>
        <v>1056</v>
      </c>
      <c r="F261" s="11">
        <v>100</v>
      </c>
      <c r="G261" s="11">
        <v>75</v>
      </c>
      <c r="H261" s="13">
        <v>2</v>
      </c>
      <c r="I261" s="2">
        <f t="shared" si="36"/>
        <v>0.55938432086837919</v>
      </c>
      <c r="J261" s="2"/>
      <c r="K261" s="2"/>
      <c r="L261" s="2"/>
      <c r="M261" s="6"/>
      <c r="N261" s="6"/>
      <c r="O261" s="6"/>
      <c r="P261" s="6"/>
      <c r="Q261" s="6"/>
      <c r="R261" s="6"/>
      <c r="S261" s="6"/>
    </row>
    <row r="262" spans="1:19" x14ac:dyDescent="0.35">
      <c r="A262" s="2">
        <v>6</v>
      </c>
      <c r="B262" s="2" t="s">
        <v>22</v>
      </c>
      <c r="C262" s="2" t="s">
        <v>21</v>
      </c>
      <c r="D262" s="2" t="s">
        <v>5</v>
      </c>
      <c r="E262" s="2">
        <f>K254+150</f>
        <v>1166</v>
      </c>
      <c r="F262" s="11">
        <v>75</v>
      </c>
      <c r="G262" s="11">
        <v>19</v>
      </c>
      <c r="H262" s="13">
        <v>4</v>
      </c>
      <c r="I262" s="2">
        <f t="shared" si="36"/>
        <v>0.23470833796435744</v>
      </c>
      <c r="J262" s="2"/>
      <c r="K262" s="2"/>
      <c r="L262" s="2"/>
      <c r="M262" s="6"/>
      <c r="N262" s="6"/>
      <c r="O262" s="6"/>
      <c r="P262" s="6"/>
      <c r="Q262" s="6"/>
      <c r="R262" s="6"/>
      <c r="S262" s="6"/>
    </row>
    <row r="263" spans="1:19" x14ac:dyDescent="0.35">
      <c r="A263" s="2">
        <v>7</v>
      </c>
      <c r="B263" s="2" t="s">
        <v>22</v>
      </c>
      <c r="C263" s="2" t="s">
        <v>21</v>
      </c>
      <c r="D263" s="2" t="s">
        <v>47</v>
      </c>
      <c r="E263" s="2">
        <f>K254</f>
        <v>1016</v>
      </c>
      <c r="F263" s="11">
        <v>75</v>
      </c>
      <c r="G263" s="11">
        <v>19</v>
      </c>
      <c r="H263" s="13">
        <v>6</v>
      </c>
      <c r="I263" s="2">
        <f t="shared" si="36"/>
        <v>0.30677144687622709</v>
      </c>
      <c r="J263" s="2"/>
      <c r="K263" s="2"/>
      <c r="L263" s="2"/>
      <c r="M263" s="6"/>
      <c r="N263" s="6"/>
      <c r="O263" s="6"/>
      <c r="P263" s="6"/>
      <c r="Q263" s="6"/>
      <c r="R263" s="6"/>
      <c r="S263" s="6"/>
    </row>
    <row r="264" spans="1:19" x14ac:dyDescent="0.35">
      <c r="A264" s="2">
        <v>8</v>
      </c>
      <c r="B264" s="2" t="s">
        <v>22</v>
      </c>
      <c r="C264" s="2" t="s">
        <v>21</v>
      </c>
      <c r="D264" s="2" t="s">
        <v>48</v>
      </c>
      <c r="E264" s="2">
        <f>J254</f>
        <v>1016</v>
      </c>
      <c r="F264" s="11">
        <v>75</v>
      </c>
      <c r="G264" s="11">
        <v>19</v>
      </c>
      <c r="H264" s="13">
        <v>4</v>
      </c>
      <c r="I264" s="2">
        <f t="shared" si="36"/>
        <v>0.20451429791748471</v>
      </c>
      <c r="J264" s="2"/>
      <c r="K264" s="2"/>
      <c r="L264" s="2"/>
      <c r="M264" s="6"/>
      <c r="N264" s="6"/>
      <c r="O264" s="6"/>
      <c r="P264" s="6"/>
      <c r="Q264" s="6"/>
      <c r="R264" s="6"/>
      <c r="S264" s="6"/>
    </row>
    <row r="265" spans="1:19" ht="15.5" x14ac:dyDescent="0.35">
      <c r="A265" s="3"/>
      <c r="B265" s="3"/>
      <c r="C265" s="3"/>
      <c r="D265" s="3"/>
      <c r="E265" s="3"/>
      <c r="F265" s="3"/>
      <c r="G265" s="3"/>
      <c r="H265" s="3"/>
      <c r="I265" s="4">
        <f>SUM(I257:I264)</f>
        <v>5.0723519772353036</v>
      </c>
      <c r="J265" s="4">
        <f>J257+I265</f>
        <v>5.5795871749588342</v>
      </c>
      <c r="K265" s="4">
        <f>J265*K257</f>
        <v>5161.1181368369216</v>
      </c>
      <c r="L265" s="4">
        <f>J265*L257</f>
        <v>1060.1215632421786</v>
      </c>
      <c r="M265" s="4">
        <f>J265*M257</f>
        <v>111.59174349917669</v>
      </c>
      <c r="N265" s="4">
        <f>J265*N257</f>
        <v>278.97935874794172</v>
      </c>
      <c r="O265" s="4">
        <f>J265*O257</f>
        <v>278.97935874794172</v>
      </c>
      <c r="P265" s="4">
        <f>J265*P257</f>
        <v>167.38761524876503</v>
      </c>
      <c r="Q265" s="4">
        <f>SUM(K265:P265)</f>
        <v>7058.1777763229256</v>
      </c>
      <c r="R265" s="4">
        <f>Q265*R257</f>
        <v>1411.6355552645853</v>
      </c>
      <c r="S265" s="5">
        <f>Q265+R265</f>
        <v>8469.8133315875111</v>
      </c>
    </row>
    <row r="272" spans="1:19" x14ac:dyDescent="0.35">
      <c r="H272" s="10">
        <v>25.4</v>
      </c>
      <c r="I272" s="12">
        <v>38</v>
      </c>
      <c r="J272" s="12">
        <v>40</v>
      </c>
      <c r="K272" s="12">
        <v>35</v>
      </c>
    </row>
    <row r="273" spans="1:19" x14ac:dyDescent="0.35">
      <c r="I273">
        <f>I272*$H$16</f>
        <v>965.19999999999993</v>
      </c>
      <c r="J273">
        <f>J272*$H$16</f>
        <v>1016</v>
      </c>
      <c r="K273">
        <f>K272*$H$16</f>
        <v>889</v>
      </c>
    </row>
    <row r="274" spans="1:19" ht="18.5" x14ac:dyDescent="0.45">
      <c r="A274" s="1">
        <v>18</v>
      </c>
      <c r="B274" s="1"/>
      <c r="C274" s="1"/>
      <c r="D274" s="1"/>
      <c r="E274" s="1"/>
      <c r="F274" s="1"/>
      <c r="G274" s="1"/>
      <c r="H274" s="18" t="s">
        <v>55</v>
      </c>
      <c r="I274" s="19"/>
      <c r="J274" s="19"/>
      <c r="K274" s="19"/>
      <c r="L274" s="19"/>
      <c r="M274" s="20"/>
      <c r="N274" s="1"/>
      <c r="O274" s="1"/>
      <c r="P274" s="1"/>
      <c r="Q274" s="1"/>
      <c r="R274" s="1"/>
      <c r="S274" s="1"/>
    </row>
    <row r="275" spans="1:19" ht="15.5" x14ac:dyDescent="0.35">
      <c r="A275" s="4" t="s">
        <v>7</v>
      </c>
      <c r="B275" s="4" t="s">
        <v>8</v>
      </c>
      <c r="C275" s="4" t="s">
        <v>9</v>
      </c>
      <c r="D275" s="4" t="s">
        <v>24</v>
      </c>
      <c r="E275" s="4" t="s">
        <v>10</v>
      </c>
      <c r="F275" s="4" t="s">
        <v>25</v>
      </c>
      <c r="G275" s="4" t="s">
        <v>26</v>
      </c>
      <c r="H275" s="4" t="s">
        <v>1</v>
      </c>
      <c r="I275" s="4" t="s">
        <v>11</v>
      </c>
      <c r="J275" s="4" t="s">
        <v>29</v>
      </c>
      <c r="K275" s="4" t="s">
        <v>12</v>
      </c>
      <c r="L275" s="4" t="s">
        <v>13</v>
      </c>
      <c r="M275" s="4" t="s">
        <v>14</v>
      </c>
      <c r="N275" s="4" t="s">
        <v>6</v>
      </c>
      <c r="O275" s="4" t="s">
        <v>15</v>
      </c>
      <c r="P275" s="4" t="s">
        <v>16</v>
      </c>
      <c r="Q275" s="4" t="s">
        <v>0</v>
      </c>
      <c r="R275" s="4" t="s">
        <v>17</v>
      </c>
      <c r="S275" s="4" t="s">
        <v>18</v>
      </c>
    </row>
    <row r="276" spans="1:19" x14ac:dyDescent="0.35">
      <c r="A276" s="2">
        <v>1</v>
      </c>
      <c r="B276" s="2" t="s">
        <v>22</v>
      </c>
      <c r="C276" s="2" t="s">
        <v>21</v>
      </c>
      <c r="D276" s="2" t="s">
        <v>2</v>
      </c>
      <c r="E276" s="2">
        <f>I273+100</f>
        <v>1065.1999999999998</v>
      </c>
      <c r="F276" s="2">
        <f>J273+40</f>
        <v>1056</v>
      </c>
      <c r="G276" s="11">
        <v>16</v>
      </c>
      <c r="H276" s="2">
        <v>2</v>
      </c>
      <c r="I276" s="2">
        <f t="shared" ref="I276:I283" si="37">E276*F276*G276*H276/304.8/304.8/304.8</f>
        <v>1.2711598476565278</v>
      </c>
      <c r="J276" s="2">
        <f>I284*10%</f>
        <v>0.47097499210126736</v>
      </c>
      <c r="K276" s="2">
        <v>925</v>
      </c>
      <c r="L276" s="2">
        <v>190</v>
      </c>
      <c r="M276" s="6">
        <v>20</v>
      </c>
      <c r="N276" s="6">
        <v>50</v>
      </c>
      <c r="O276" s="6">
        <v>50</v>
      </c>
      <c r="P276" s="6">
        <v>30</v>
      </c>
      <c r="Q276" s="6"/>
      <c r="R276" s="7">
        <v>0.2</v>
      </c>
      <c r="S276" s="6"/>
    </row>
    <row r="277" spans="1:19" x14ac:dyDescent="0.35">
      <c r="A277" s="2">
        <v>2</v>
      </c>
      <c r="B277" s="2" t="s">
        <v>22</v>
      </c>
      <c r="C277" s="2" t="s">
        <v>21</v>
      </c>
      <c r="D277" s="2" t="s">
        <v>3</v>
      </c>
      <c r="E277" s="2">
        <f>I273+100</f>
        <v>1065.1999999999998</v>
      </c>
      <c r="F277" s="2">
        <f>K273</f>
        <v>889</v>
      </c>
      <c r="G277" s="11">
        <v>16</v>
      </c>
      <c r="H277" s="2">
        <v>2</v>
      </c>
      <c r="I277" s="2">
        <f t="shared" si="37"/>
        <v>1.0701336217487247</v>
      </c>
      <c r="J277" s="2"/>
      <c r="K277" s="2"/>
      <c r="L277" s="2"/>
      <c r="M277" s="6"/>
      <c r="N277" s="6"/>
      <c r="O277" s="6"/>
      <c r="P277" s="6"/>
      <c r="Q277" s="6"/>
      <c r="R277" s="6"/>
      <c r="S277" s="6"/>
    </row>
    <row r="278" spans="1:19" x14ac:dyDescent="0.35">
      <c r="A278" s="2">
        <v>3</v>
      </c>
      <c r="B278" s="2" t="s">
        <v>22</v>
      </c>
      <c r="C278" s="2" t="s">
        <v>21</v>
      </c>
      <c r="D278" s="2" t="s">
        <v>4</v>
      </c>
      <c r="E278" s="2">
        <f>J273</f>
        <v>1016</v>
      </c>
      <c r="F278" s="2">
        <f>K273</f>
        <v>889</v>
      </c>
      <c r="G278" s="11">
        <v>16</v>
      </c>
      <c r="H278" s="2">
        <v>2</v>
      </c>
      <c r="I278" s="2">
        <f t="shared" si="37"/>
        <v>1.0207057451151937</v>
      </c>
      <c r="J278" s="2"/>
      <c r="K278" s="2"/>
      <c r="L278" s="2"/>
      <c r="M278" s="6"/>
      <c r="N278" s="6"/>
      <c r="O278" s="6"/>
      <c r="P278" s="6"/>
      <c r="Q278" s="6"/>
      <c r="R278" s="6"/>
      <c r="S278" s="6"/>
    </row>
    <row r="279" spans="1:19" x14ac:dyDescent="0.35">
      <c r="A279" s="2">
        <v>4</v>
      </c>
      <c r="B279" s="2" t="s">
        <v>22</v>
      </c>
      <c r="C279" s="2" t="s">
        <v>21</v>
      </c>
      <c r="D279" s="2" t="s">
        <v>19</v>
      </c>
      <c r="E279" s="2">
        <f>J273+40</f>
        <v>1056</v>
      </c>
      <c r="F279" s="11">
        <v>75</v>
      </c>
      <c r="G279" s="11">
        <v>19</v>
      </c>
      <c r="H279" s="13">
        <v>2</v>
      </c>
      <c r="I279" s="2">
        <f t="shared" si="37"/>
        <v>0.10628302096499206</v>
      </c>
      <c r="J279" s="2"/>
      <c r="K279" s="2"/>
      <c r="L279" s="2"/>
      <c r="M279" s="6"/>
      <c r="N279" s="6"/>
      <c r="O279" s="6"/>
      <c r="P279" s="6"/>
      <c r="Q279" s="6"/>
      <c r="R279" s="6"/>
      <c r="S279" s="6"/>
    </row>
    <row r="280" spans="1:19" x14ac:dyDescent="0.35">
      <c r="A280" s="2">
        <v>5</v>
      </c>
      <c r="B280" s="2" t="s">
        <v>22</v>
      </c>
      <c r="C280" s="2" t="s">
        <v>21</v>
      </c>
      <c r="D280" s="2" t="s">
        <v>20</v>
      </c>
      <c r="E280" s="2">
        <f>J273+40</f>
        <v>1056</v>
      </c>
      <c r="F280" s="11">
        <v>100</v>
      </c>
      <c r="G280" s="11">
        <v>75</v>
      </c>
      <c r="H280" s="13">
        <v>2</v>
      </c>
      <c r="I280" s="2">
        <f t="shared" si="37"/>
        <v>0.55938432086837919</v>
      </c>
      <c r="J280" s="2"/>
      <c r="K280" s="2"/>
      <c r="L280" s="2"/>
      <c r="M280" s="6"/>
      <c r="N280" s="6"/>
      <c r="O280" s="6"/>
      <c r="P280" s="6"/>
      <c r="Q280" s="6"/>
      <c r="R280" s="6"/>
      <c r="S280" s="6"/>
    </row>
    <row r="281" spans="1:19" x14ac:dyDescent="0.35">
      <c r="A281" s="2">
        <v>6</v>
      </c>
      <c r="B281" s="2" t="s">
        <v>22</v>
      </c>
      <c r="C281" s="2" t="s">
        <v>21</v>
      </c>
      <c r="D281" s="2" t="s">
        <v>5</v>
      </c>
      <c r="E281" s="2">
        <f>K273+150</f>
        <v>1039</v>
      </c>
      <c r="F281" s="11">
        <v>75</v>
      </c>
      <c r="G281" s="11">
        <v>19</v>
      </c>
      <c r="H281" s="13">
        <v>4</v>
      </c>
      <c r="I281" s="2">
        <f t="shared" si="37"/>
        <v>0.20914405072467185</v>
      </c>
      <c r="J281" s="2"/>
      <c r="K281" s="2"/>
      <c r="L281" s="2"/>
      <c r="M281" s="6"/>
      <c r="N281" s="6"/>
      <c r="O281" s="6"/>
      <c r="P281" s="6"/>
      <c r="Q281" s="6"/>
      <c r="R281" s="6"/>
      <c r="S281" s="6"/>
    </row>
    <row r="282" spans="1:19" x14ac:dyDescent="0.35">
      <c r="A282" s="2">
        <v>7</v>
      </c>
      <c r="B282" s="2" t="s">
        <v>22</v>
      </c>
      <c r="C282" s="2" t="s">
        <v>21</v>
      </c>
      <c r="D282" s="2" t="s">
        <v>47</v>
      </c>
      <c r="E282" s="2">
        <f>K273</f>
        <v>889</v>
      </c>
      <c r="F282" s="11">
        <v>75</v>
      </c>
      <c r="G282" s="11">
        <v>19</v>
      </c>
      <c r="H282" s="13">
        <v>6</v>
      </c>
      <c r="I282" s="2">
        <f t="shared" si="37"/>
        <v>0.26842501601669871</v>
      </c>
      <c r="J282" s="2"/>
      <c r="K282" s="2"/>
      <c r="L282" s="2"/>
      <c r="M282" s="6"/>
      <c r="N282" s="6"/>
      <c r="O282" s="6"/>
      <c r="P282" s="6"/>
      <c r="Q282" s="6"/>
      <c r="R282" s="6"/>
      <c r="S282" s="6"/>
    </row>
    <row r="283" spans="1:19" x14ac:dyDescent="0.35">
      <c r="A283" s="2">
        <v>8</v>
      </c>
      <c r="B283" s="2" t="s">
        <v>22</v>
      </c>
      <c r="C283" s="2" t="s">
        <v>21</v>
      </c>
      <c r="D283" s="2" t="s">
        <v>48</v>
      </c>
      <c r="E283" s="2">
        <f>J273</f>
        <v>1016</v>
      </c>
      <c r="F283" s="11">
        <v>75</v>
      </c>
      <c r="G283" s="11">
        <v>19</v>
      </c>
      <c r="H283" s="13">
        <v>4</v>
      </c>
      <c r="I283" s="2">
        <f t="shared" si="37"/>
        <v>0.20451429791748471</v>
      </c>
      <c r="J283" s="2"/>
      <c r="K283" s="2"/>
      <c r="L283" s="2"/>
      <c r="M283" s="6"/>
      <c r="N283" s="6"/>
      <c r="O283" s="6"/>
      <c r="P283" s="6"/>
      <c r="Q283" s="6"/>
      <c r="R283" s="6"/>
      <c r="S283" s="6"/>
    </row>
    <row r="284" spans="1:19" ht="15.5" x14ac:dyDescent="0.35">
      <c r="A284" s="3"/>
      <c r="B284" s="3"/>
      <c r="C284" s="3"/>
      <c r="D284" s="3"/>
      <c r="E284" s="3"/>
      <c r="F284" s="3"/>
      <c r="G284" s="3"/>
      <c r="H284" s="3"/>
      <c r="I284" s="4">
        <f>SUM(I276:I283)</f>
        <v>4.7097499210126736</v>
      </c>
      <c r="J284" s="4">
        <f>J276+I284</f>
        <v>5.1807249131139415</v>
      </c>
      <c r="K284" s="4">
        <f>J284*K276</f>
        <v>4792.1705446303959</v>
      </c>
      <c r="L284" s="4">
        <f>J284*L276</f>
        <v>984.33773349164892</v>
      </c>
      <c r="M284" s="4">
        <f>J284*M276</f>
        <v>103.61449826227883</v>
      </c>
      <c r="N284" s="4">
        <f>J284*N276</f>
        <v>259.03624565569709</v>
      </c>
      <c r="O284" s="4">
        <f>J284*O276</f>
        <v>259.03624565569709</v>
      </c>
      <c r="P284" s="4">
        <f>J284*P276</f>
        <v>155.42174739341823</v>
      </c>
      <c r="Q284" s="4">
        <f>SUM(K284:P284)</f>
        <v>6553.6170150891357</v>
      </c>
      <c r="R284" s="4">
        <f>Q284*R276</f>
        <v>1310.7234030178272</v>
      </c>
      <c r="S284" s="5">
        <f>Q284+R284</f>
        <v>7864.3404181069627</v>
      </c>
    </row>
  </sheetData>
  <mergeCells count="19">
    <mergeCell ref="H255:M255"/>
    <mergeCell ref="H274:M274"/>
    <mergeCell ref="H221:M221"/>
    <mergeCell ref="H236:M236"/>
    <mergeCell ref="H4:M4"/>
    <mergeCell ref="H18:M18"/>
    <mergeCell ref="H33:M33"/>
    <mergeCell ref="H47:M47"/>
    <mergeCell ref="H62:M62"/>
    <mergeCell ref="H76:M76"/>
    <mergeCell ref="H90:M90"/>
    <mergeCell ref="H104:M104"/>
    <mergeCell ref="H118:M118"/>
    <mergeCell ref="H206:M206"/>
    <mergeCell ref="H132:M132"/>
    <mergeCell ref="H147:M147"/>
    <mergeCell ref="H161:M161"/>
    <mergeCell ref="H176:M176"/>
    <mergeCell ref="H191:M191"/>
  </mergeCells>
  <pageMargins left="0.31" right="0.28000000000000003" top="0.23622047244094491" bottom="0.46" header="0.15748031496062992" footer="0.15748031496062992"/>
  <pageSetup scale="60" fitToHeight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D941-AAA7-49D2-9FE6-7841956DC837}">
  <dimension ref="A6:AD54"/>
  <sheetViews>
    <sheetView topLeftCell="A2" zoomScale="70" zoomScaleNormal="70" workbookViewId="0">
      <selection activeCell="R47" sqref="R47"/>
    </sheetView>
  </sheetViews>
  <sheetFormatPr defaultRowHeight="14.5" x14ac:dyDescent="0.35"/>
  <cols>
    <col min="2" max="2" width="11.453125" customWidth="1"/>
    <col min="3" max="3" width="11.54296875" customWidth="1"/>
    <col min="4" max="4" width="9.453125" customWidth="1"/>
    <col min="9" max="9" width="11.1796875" customWidth="1"/>
    <col min="10" max="11" width="11" customWidth="1"/>
    <col min="12" max="12" width="10.54296875" customWidth="1"/>
    <col min="13" max="13" width="11.1796875" customWidth="1"/>
    <col min="14" max="14" width="14.453125" customWidth="1"/>
    <col min="15" max="15" width="16.1796875" customWidth="1"/>
    <col min="16" max="16" width="10.7265625" customWidth="1"/>
    <col min="18" max="18" width="10.7265625" customWidth="1"/>
    <col min="19" max="19" width="16.1796875" customWidth="1"/>
  </cols>
  <sheetData>
    <row r="6" spans="1:30" ht="15.5" x14ac:dyDescent="0.35">
      <c r="H6" s="10">
        <v>25.4</v>
      </c>
      <c r="I6" s="16">
        <v>65</v>
      </c>
      <c r="J6" s="16">
        <v>33</v>
      </c>
      <c r="K6" s="16">
        <v>24</v>
      </c>
    </row>
    <row r="7" spans="1:30" ht="15.5" x14ac:dyDescent="0.35">
      <c r="I7" s="14">
        <f>H6*I6</f>
        <v>1651</v>
      </c>
      <c r="J7" s="14">
        <f>H6*J6</f>
        <v>838.19999999999993</v>
      </c>
      <c r="K7" s="14">
        <f>H6*K6</f>
        <v>609.59999999999991</v>
      </c>
      <c r="U7" s="15">
        <v>25.4</v>
      </c>
      <c r="V7" s="16">
        <f>V8*U7</f>
        <v>977.9</v>
      </c>
      <c r="W7" s="16">
        <f>W8*U7</f>
        <v>1079.5</v>
      </c>
      <c r="X7" s="16">
        <f>X8*U7</f>
        <v>1041.3999999999999</v>
      </c>
      <c r="Y7" s="15" t="s">
        <v>50</v>
      </c>
    </row>
    <row r="8" spans="1:30" ht="18.5" x14ac:dyDescent="0.45">
      <c r="A8" s="1">
        <v>1</v>
      </c>
      <c r="B8" s="1"/>
      <c r="C8" s="1"/>
      <c r="D8" s="1"/>
      <c r="E8" s="1"/>
      <c r="F8" s="1"/>
      <c r="G8" s="1"/>
      <c r="H8" s="18" t="s">
        <v>52</v>
      </c>
      <c r="I8" s="19"/>
      <c r="J8" s="19"/>
      <c r="K8" s="19"/>
      <c r="L8" s="19"/>
      <c r="M8" s="20"/>
      <c r="N8" s="1"/>
      <c r="O8" s="1"/>
      <c r="P8" s="1"/>
      <c r="Q8" s="1"/>
      <c r="R8" s="1"/>
      <c r="S8" s="1"/>
      <c r="U8" s="16" t="s">
        <v>24</v>
      </c>
      <c r="V8" s="16">
        <v>38.5</v>
      </c>
      <c r="W8" s="16">
        <v>42.5</v>
      </c>
      <c r="X8" s="16">
        <v>41</v>
      </c>
      <c r="Y8" s="16" t="s">
        <v>51</v>
      </c>
    </row>
    <row r="9" spans="1:30" ht="15.5" x14ac:dyDescent="0.35">
      <c r="A9" s="4" t="s">
        <v>7</v>
      </c>
      <c r="B9" s="4" t="s">
        <v>8</v>
      </c>
      <c r="C9" s="4" t="s">
        <v>9</v>
      </c>
      <c r="D9" s="4" t="s">
        <v>24</v>
      </c>
      <c r="E9" s="4" t="s">
        <v>10</v>
      </c>
      <c r="F9" s="4" t="s">
        <v>25</v>
      </c>
      <c r="G9" s="4" t="s">
        <v>26</v>
      </c>
      <c r="H9" s="4" t="s">
        <v>1</v>
      </c>
      <c r="I9" s="4" t="s">
        <v>11</v>
      </c>
      <c r="J9" s="4" t="s">
        <v>29</v>
      </c>
      <c r="K9" s="4" t="s">
        <v>12</v>
      </c>
      <c r="L9" s="4" t="s">
        <v>13</v>
      </c>
      <c r="M9" s="4" t="s">
        <v>14</v>
      </c>
      <c r="N9" s="4" t="s">
        <v>6</v>
      </c>
      <c r="O9" s="4" t="s">
        <v>15</v>
      </c>
      <c r="P9" s="4" t="s">
        <v>16</v>
      </c>
      <c r="Q9" s="4" t="s">
        <v>0</v>
      </c>
      <c r="R9" s="4" t="s">
        <v>17</v>
      </c>
      <c r="S9" s="4" t="s">
        <v>18</v>
      </c>
      <c r="U9" s="4" t="s">
        <v>24</v>
      </c>
      <c r="V9" s="4" t="s">
        <v>10</v>
      </c>
      <c r="W9" s="4" t="s">
        <v>25</v>
      </c>
      <c r="X9" s="4" t="s">
        <v>26</v>
      </c>
      <c r="Y9" s="4" t="s">
        <v>1</v>
      </c>
      <c r="Z9" s="4" t="s">
        <v>11</v>
      </c>
      <c r="AA9" s="4" t="s">
        <v>10</v>
      </c>
      <c r="AB9" s="4" t="s">
        <v>25</v>
      </c>
      <c r="AC9" s="4" t="s">
        <v>26</v>
      </c>
      <c r="AD9" s="4" t="s">
        <v>1</v>
      </c>
    </row>
    <row r="10" spans="1:30" x14ac:dyDescent="0.35">
      <c r="A10" s="2">
        <v>1</v>
      </c>
      <c r="B10" s="2" t="s">
        <v>22</v>
      </c>
      <c r="C10" s="2" t="s">
        <v>21</v>
      </c>
      <c r="D10" s="2" t="s">
        <v>2</v>
      </c>
      <c r="E10" s="17">
        <f>I7+100</f>
        <v>1751</v>
      </c>
      <c r="F10" s="17">
        <f>J7+40</f>
        <v>878.19999999999993</v>
      </c>
      <c r="G10" s="2">
        <v>16</v>
      </c>
      <c r="H10" s="2">
        <v>2</v>
      </c>
      <c r="I10" s="2">
        <f t="shared" ref="I10:I17" si="0">E10*F10*G10*H10/304.8/304.8/304.8</f>
        <v>1.7377394845195053</v>
      </c>
      <c r="J10" s="2">
        <f>I18*10%</f>
        <v>0.49339374420127524</v>
      </c>
      <c r="K10" s="2">
        <v>925</v>
      </c>
      <c r="L10" s="2">
        <v>190</v>
      </c>
      <c r="M10" s="6">
        <v>20</v>
      </c>
      <c r="N10" s="6">
        <v>50</v>
      </c>
      <c r="O10" s="6">
        <v>50</v>
      </c>
      <c r="P10" s="6">
        <v>30</v>
      </c>
      <c r="Q10" s="6"/>
      <c r="R10" s="7">
        <v>0.2</v>
      </c>
      <c r="S10" s="6"/>
      <c r="U10" s="2" t="s">
        <v>2</v>
      </c>
      <c r="V10" s="2">
        <f>977+100</f>
        <v>1077</v>
      </c>
      <c r="W10" s="2">
        <v>1119.5</v>
      </c>
      <c r="X10" s="2">
        <v>16</v>
      </c>
      <c r="Y10" s="2">
        <v>2</v>
      </c>
      <c r="Z10" s="2">
        <f t="shared" ref="Z10:Z17" si="1">V10*W10*X10*Y10/304.8/304.8/304.8</f>
        <v>1.3625262924191639</v>
      </c>
      <c r="AA10" s="3">
        <f>V7+100</f>
        <v>1077.9000000000001</v>
      </c>
      <c r="AB10" s="3">
        <f>W7+40</f>
        <v>1119.5</v>
      </c>
      <c r="AC10" s="3">
        <f t="shared" ref="AC10:AC17" si="2">X10</f>
        <v>16</v>
      </c>
      <c r="AD10" s="2">
        <v>2</v>
      </c>
    </row>
    <row r="11" spans="1:30" x14ac:dyDescent="0.35">
      <c r="A11" s="2">
        <v>2</v>
      </c>
      <c r="B11" s="2" t="s">
        <v>22</v>
      </c>
      <c r="C11" s="2" t="s">
        <v>21</v>
      </c>
      <c r="D11" s="2" t="s">
        <v>3</v>
      </c>
      <c r="E11" s="17">
        <f>I7+100</f>
        <v>1751</v>
      </c>
      <c r="F11" s="17">
        <f>K7</f>
        <v>609.59999999999991</v>
      </c>
      <c r="G11" s="2">
        <v>16</v>
      </c>
      <c r="H11" s="2">
        <v>2</v>
      </c>
      <c r="I11" s="2">
        <f t="shared" si="0"/>
        <v>1.2062468569381581</v>
      </c>
      <c r="J11" s="2"/>
      <c r="K11" s="2"/>
      <c r="L11" s="2"/>
      <c r="M11" s="6"/>
      <c r="N11" s="6"/>
      <c r="O11" s="6"/>
      <c r="P11" s="6"/>
      <c r="Q11" s="6"/>
      <c r="R11" s="6"/>
      <c r="S11" s="6"/>
      <c r="U11" s="2" t="s">
        <v>3</v>
      </c>
      <c r="V11" s="2">
        <v>1077</v>
      </c>
      <c r="W11" s="2">
        <v>1041.4000000000001</v>
      </c>
      <c r="X11" s="2">
        <v>16</v>
      </c>
      <c r="Y11" s="2">
        <v>2</v>
      </c>
      <c r="Z11" s="2">
        <f t="shared" si="1"/>
        <v>1.2674719793884031</v>
      </c>
      <c r="AA11" s="3">
        <f>V7+100</f>
        <v>1077.9000000000001</v>
      </c>
      <c r="AB11" s="3">
        <f>X7</f>
        <v>1041.3999999999999</v>
      </c>
      <c r="AC11" s="3">
        <f t="shared" si="2"/>
        <v>16</v>
      </c>
      <c r="AD11" s="2">
        <v>2</v>
      </c>
    </row>
    <row r="12" spans="1:30" x14ac:dyDescent="0.35">
      <c r="A12" s="2">
        <v>3</v>
      </c>
      <c r="B12" s="2" t="s">
        <v>22</v>
      </c>
      <c r="C12" s="2" t="s">
        <v>21</v>
      </c>
      <c r="D12" s="2" t="s">
        <v>4</v>
      </c>
      <c r="E12" s="17">
        <f>J7</f>
        <v>838.19999999999993</v>
      </c>
      <c r="F12" s="17">
        <f>K7</f>
        <v>609.59999999999991</v>
      </c>
      <c r="G12" s="2">
        <v>16</v>
      </c>
      <c r="H12" s="2">
        <v>2</v>
      </c>
      <c r="I12" s="2">
        <f t="shared" si="0"/>
        <v>0.57742782152230954</v>
      </c>
      <c r="J12" s="2"/>
      <c r="K12" s="2"/>
      <c r="L12" s="2"/>
      <c r="M12" s="6"/>
      <c r="N12" s="6"/>
      <c r="O12" s="6"/>
      <c r="P12" s="6"/>
      <c r="Q12" s="6"/>
      <c r="R12" s="6"/>
      <c r="S12" s="6"/>
      <c r="U12" s="2" t="s">
        <v>4</v>
      </c>
      <c r="V12" s="2">
        <v>1092.2</v>
      </c>
      <c r="W12" s="2">
        <v>1041.4000000000001</v>
      </c>
      <c r="X12" s="2">
        <v>16</v>
      </c>
      <c r="Y12" s="2">
        <v>2</v>
      </c>
      <c r="Z12" s="2">
        <f>V12*W12*X12*Y12/304.8/304.8/304.8</f>
        <v>1.2853601633129192</v>
      </c>
      <c r="AA12" s="3">
        <f>W7</f>
        <v>1079.5</v>
      </c>
      <c r="AB12" s="3">
        <f>X7</f>
        <v>1041.3999999999999</v>
      </c>
      <c r="AC12" s="3">
        <f t="shared" si="2"/>
        <v>16</v>
      </c>
      <c r="AD12" s="2">
        <v>2</v>
      </c>
    </row>
    <row r="13" spans="1:30" x14ac:dyDescent="0.35">
      <c r="A13" s="2">
        <v>4</v>
      </c>
      <c r="B13" s="2" t="s">
        <v>22</v>
      </c>
      <c r="C13" s="2" t="s">
        <v>21</v>
      </c>
      <c r="D13" s="2" t="s">
        <v>19</v>
      </c>
      <c r="E13" s="17">
        <f>J7+40</f>
        <v>878.19999999999993</v>
      </c>
      <c r="F13" s="2">
        <v>75</v>
      </c>
      <c r="G13" s="2">
        <v>19</v>
      </c>
      <c r="H13" s="2">
        <v>3</v>
      </c>
      <c r="I13" s="2">
        <f t="shared" si="0"/>
        <v>0.13258202984581821</v>
      </c>
      <c r="J13" s="2"/>
      <c r="K13" s="2"/>
      <c r="L13" s="2"/>
      <c r="M13" s="6"/>
      <c r="N13" s="6"/>
      <c r="O13" s="6"/>
      <c r="P13" s="6"/>
      <c r="Q13" s="6"/>
      <c r="R13" s="6"/>
      <c r="S13" s="6"/>
      <c r="U13" s="2" t="s">
        <v>19</v>
      </c>
      <c r="V13" s="2">
        <v>1119.5</v>
      </c>
      <c r="W13" s="2">
        <v>75</v>
      </c>
      <c r="X13" s="2">
        <v>19</v>
      </c>
      <c r="Y13" s="2">
        <v>2</v>
      </c>
      <c r="Z13" s="2">
        <f t="shared" si="1"/>
        <v>0.11267409277491344</v>
      </c>
      <c r="AA13" s="3">
        <f>W7+40</f>
        <v>1119.5</v>
      </c>
      <c r="AB13" s="3">
        <f>W7+40</f>
        <v>1119.5</v>
      </c>
      <c r="AC13" s="3">
        <f t="shared" si="2"/>
        <v>19</v>
      </c>
      <c r="AD13" s="2">
        <v>2</v>
      </c>
    </row>
    <row r="14" spans="1:30" x14ac:dyDescent="0.35">
      <c r="A14" s="2">
        <v>5</v>
      </c>
      <c r="B14" s="2" t="s">
        <v>22</v>
      </c>
      <c r="C14" s="2" t="s">
        <v>21</v>
      </c>
      <c r="D14" s="2" t="s">
        <v>20</v>
      </c>
      <c r="E14" s="17">
        <f>J7+40</f>
        <v>878.19999999999993</v>
      </c>
      <c r="F14" s="2">
        <v>100</v>
      </c>
      <c r="G14" s="2">
        <v>75</v>
      </c>
      <c r="H14" s="2">
        <v>3</v>
      </c>
      <c r="I14" s="2">
        <f t="shared" si="0"/>
        <v>0.69780015708325371</v>
      </c>
      <c r="J14" s="2"/>
      <c r="K14" s="2"/>
      <c r="L14" s="2"/>
      <c r="M14" s="6"/>
      <c r="N14" s="6"/>
      <c r="O14" s="6"/>
      <c r="P14" s="6"/>
      <c r="Q14" s="6"/>
      <c r="R14" s="6"/>
      <c r="S14" s="6"/>
      <c r="U14" s="2" t="s">
        <v>20</v>
      </c>
      <c r="V14" s="2">
        <v>1119.5</v>
      </c>
      <c r="W14" s="2">
        <v>100</v>
      </c>
      <c r="X14" s="2">
        <v>75</v>
      </c>
      <c r="Y14" s="2">
        <v>2</v>
      </c>
      <c r="Z14" s="2">
        <f t="shared" si="1"/>
        <v>0.59302154092059711</v>
      </c>
      <c r="AA14" s="3">
        <f>W7+40</f>
        <v>1119.5</v>
      </c>
      <c r="AB14" s="3">
        <f>W14</f>
        <v>100</v>
      </c>
      <c r="AC14" s="3">
        <f t="shared" si="2"/>
        <v>75</v>
      </c>
      <c r="AD14" s="2">
        <v>2</v>
      </c>
    </row>
    <row r="15" spans="1:30" x14ac:dyDescent="0.35">
      <c r="A15" s="2">
        <v>6</v>
      </c>
      <c r="B15" s="2" t="s">
        <v>22</v>
      </c>
      <c r="C15" s="2" t="s">
        <v>21</v>
      </c>
      <c r="D15" s="2" t="s">
        <v>5</v>
      </c>
      <c r="E15" s="17">
        <f>K7+150</f>
        <v>759.59999999999991</v>
      </c>
      <c r="F15" s="2">
        <v>75</v>
      </c>
      <c r="G15" s="2">
        <v>19</v>
      </c>
      <c r="H15" s="2">
        <v>6</v>
      </c>
      <c r="I15" s="2">
        <f t="shared" si="0"/>
        <v>0.22935392819604528</v>
      </c>
      <c r="J15" s="2"/>
      <c r="K15" s="2"/>
      <c r="L15" s="2"/>
      <c r="M15" s="6"/>
      <c r="N15" s="6"/>
      <c r="O15" s="6"/>
      <c r="P15" s="6"/>
      <c r="Q15" s="6"/>
      <c r="R15" s="6"/>
      <c r="S15" s="6"/>
      <c r="U15" s="2" t="s">
        <v>5</v>
      </c>
      <c r="V15" s="2">
        <v>1191.4000000000001</v>
      </c>
      <c r="W15" s="2">
        <v>75</v>
      </c>
      <c r="X15" s="2">
        <v>19</v>
      </c>
      <c r="Y15" s="2">
        <v>4</v>
      </c>
      <c r="Z15" s="2">
        <f t="shared" si="1"/>
        <v>0.23982119541229457</v>
      </c>
      <c r="AA15" s="3">
        <f>X7+150</f>
        <v>1191.3999999999999</v>
      </c>
      <c r="AB15" s="3">
        <f>W15</f>
        <v>75</v>
      </c>
      <c r="AC15" s="3">
        <f t="shared" si="2"/>
        <v>19</v>
      </c>
      <c r="AD15" s="2">
        <v>4</v>
      </c>
    </row>
    <row r="16" spans="1:30" x14ac:dyDescent="0.35">
      <c r="A16" s="2">
        <v>7</v>
      </c>
      <c r="B16" s="2" t="s">
        <v>22</v>
      </c>
      <c r="C16" s="2" t="s">
        <v>21</v>
      </c>
      <c r="D16" s="2" t="s">
        <v>47</v>
      </c>
      <c r="E16" s="17">
        <f>K7</f>
        <v>609.59999999999991</v>
      </c>
      <c r="F16" s="2">
        <v>75</v>
      </c>
      <c r="G16" s="2">
        <v>19</v>
      </c>
      <c r="H16" s="2">
        <v>6</v>
      </c>
      <c r="I16" s="2">
        <f t="shared" si="0"/>
        <v>0.18406286812573619</v>
      </c>
      <c r="J16" s="2"/>
      <c r="K16" s="2"/>
      <c r="L16" s="2"/>
      <c r="M16" s="6"/>
      <c r="N16" s="6"/>
      <c r="O16" s="6"/>
      <c r="P16" s="6"/>
      <c r="Q16" s="6"/>
      <c r="R16" s="6"/>
      <c r="S16" s="6"/>
      <c r="U16" s="2" t="s">
        <v>47</v>
      </c>
      <c r="V16" s="2">
        <v>1041.4000000000001</v>
      </c>
      <c r="W16" s="2">
        <v>75</v>
      </c>
      <c r="X16" s="2">
        <v>19</v>
      </c>
      <c r="Y16" s="2">
        <v>6</v>
      </c>
      <c r="Z16" s="2">
        <f t="shared" si="1"/>
        <v>0.31444073304813275</v>
      </c>
      <c r="AA16" s="3">
        <f>X7</f>
        <v>1041.3999999999999</v>
      </c>
      <c r="AB16" s="3">
        <f>W16</f>
        <v>75</v>
      </c>
      <c r="AC16" s="3">
        <f t="shared" si="2"/>
        <v>19</v>
      </c>
      <c r="AD16" s="2">
        <v>6</v>
      </c>
    </row>
    <row r="17" spans="1:30" x14ac:dyDescent="0.35">
      <c r="A17" s="2">
        <v>8</v>
      </c>
      <c r="B17" s="2" t="s">
        <v>22</v>
      </c>
      <c r="C17" s="2" t="s">
        <v>21</v>
      </c>
      <c r="D17" s="2" t="s">
        <v>48</v>
      </c>
      <c r="E17" s="17">
        <f>J7</f>
        <v>838.19999999999993</v>
      </c>
      <c r="F17" s="2">
        <v>75</v>
      </c>
      <c r="G17" s="2">
        <v>19</v>
      </c>
      <c r="H17" s="2">
        <v>4</v>
      </c>
      <c r="I17" s="2">
        <f t="shared" si="0"/>
        <v>0.16872429578192485</v>
      </c>
      <c r="J17" s="2"/>
      <c r="K17" s="2"/>
      <c r="L17" s="2"/>
      <c r="M17" s="6"/>
      <c r="N17" s="6"/>
      <c r="O17" s="6"/>
      <c r="P17" s="6"/>
      <c r="Q17" s="6"/>
      <c r="R17" s="6"/>
      <c r="S17" s="6"/>
      <c r="U17" s="2" t="s">
        <v>48</v>
      </c>
      <c r="V17" s="2">
        <f>W7</f>
        <v>1079.5</v>
      </c>
      <c r="W17" s="2">
        <v>75</v>
      </c>
      <c r="X17" s="2">
        <v>19</v>
      </c>
      <c r="Y17" s="2">
        <v>4</v>
      </c>
      <c r="Z17" s="2">
        <f t="shared" si="1"/>
        <v>0.21729644153732752</v>
      </c>
      <c r="AA17" s="3">
        <f>W7</f>
        <v>1079.5</v>
      </c>
      <c r="AB17" s="3">
        <f>W17</f>
        <v>75</v>
      </c>
      <c r="AC17" s="3">
        <f t="shared" si="2"/>
        <v>19</v>
      </c>
      <c r="AD17" s="2">
        <v>4</v>
      </c>
    </row>
    <row r="18" spans="1:30" ht="15.5" x14ac:dyDescent="0.35">
      <c r="A18" s="3"/>
      <c r="B18" s="3"/>
      <c r="C18" s="3"/>
      <c r="D18" s="3"/>
      <c r="E18" s="3"/>
      <c r="F18" s="3"/>
      <c r="G18" s="3"/>
      <c r="H18" s="3"/>
      <c r="I18" s="4">
        <f>SUM(I10:I17)</f>
        <v>4.933937442012752</v>
      </c>
      <c r="J18" s="4">
        <f>J10+I18</f>
        <v>5.427331186214027</v>
      </c>
      <c r="K18" s="4">
        <f>J18*K10</f>
        <v>5020.2813472479747</v>
      </c>
      <c r="L18" s="4">
        <f>J18*L10</f>
        <v>1031.1929253806652</v>
      </c>
      <c r="M18" s="4">
        <f>J18*M10</f>
        <v>108.54662372428054</v>
      </c>
      <c r="N18" s="4">
        <f>J18*N10</f>
        <v>271.36655931070135</v>
      </c>
      <c r="O18" s="4">
        <f>J18*O10</f>
        <v>271.36655931070135</v>
      </c>
      <c r="P18" s="4">
        <f>J18*P10</f>
        <v>162.8199355864208</v>
      </c>
      <c r="Q18" s="4">
        <f>SUM(K18:P18)</f>
        <v>6865.5739505607453</v>
      </c>
      <c r="R18" s="4">
        <f>Q18*R10</f>
        <v>1373.1147901121492</v>
      </c>
      <c r="S18" s="5">
        <f>Q18+R18</f>
        <v>8238.6887406728947</v>
      </c>
      <c r="U18" s="3"/>
      <c r="V18" s="3"/>
      <c r="W18" s="3"/>
      <c r="X18" s="3"/>
      <c r="Y18" s="3"/>
      <c r="Z18" s="4">
        <f>SUM(Z10:Z17)</f>
        <v>5.3926124388137522</v>
      </c>
    </row>
    <row r="24" spans="1:30" ht="15.5" x14ac:dyDescent="0.35">
      <c r="H24" s="10">
        <v>25.4</v>
      </c>
      <c r="I24" s="16">
        <v>102</v>
      </c>
      <c r="J24" s="16">
        <v>24</v>
      </c>
      <c r="K24" s="16">
        <v>15</v>
      </c>
    </row>
    <row r="25" spans="1:30" x14ac:dyDescent="0.35">
      <c r="I25" s="14">
        <f>H24*I24</f>
        <v>2590.7999999999997</v>
      </c>
      <c r="J25" s="14">
        <f>H24*J24</f>
        <v>609.59999999999991</v>
      </c>
      <c r="K25" s="14">
        <f>H24*K24</f>
        <v>381</v>
      </c>
    </row>
    <row r="26" spans="1:30" ht="18.5" x14ac:dyDescent="0.45">
      <c r="A26" s="1">
        <v>2</v>
      </c>
      <c r="B26" s="1"/>
      <c r="C26" s="1"/>
      <c r="D26" s="1"/>
      <c r="E26" s="1"/>
      <c r="F26" s="1"/>
      <c r="G26" s="1"/>
      <c r="H26" s="18" t="s">
        <v>53</v>
      </c>
      <c r="I26" s="19"/>
      <c r="J26" s="19"/>
      <c r="K26" s="19"/>
      <c r="L26" s="19"/>
      <c r="M26" s="20"/>
      <c r="N26" s="1"/>
      <c r="O26" s="1"/>
      <c r="P26" s="1"/>
      <c r="Q26" s="1"/>
      <c r="R26" s="1"/>
      <c r="S26" s="1"/>
    </row>
    <row r="27" spans="1:30" ht="15.5" x14ac:dyDescent="0.35">
      <c r="A27" s="4" t="s">
        <v>7</v>
      </c>
      <c r="B27" s="4" t="s">
        <v>8</v>
      </c>
      <c r="C27" s="4" t="s">
        <v>9</v>
      </c>
      <c r="D27" s="4" t="s">
        <v>24</v>
      </c>
      <c r="E27" s="4" t="s">
        <v>10</v>
      </c>
      <c r="F27" s="4" t="s">
        <v>25</v>
      </c>
      <c r="G27" s="4" t="s">
        <v>26</v>
      </c>
      <c r="H27" s="4" t="s">
        <v>1</v>
      </c>
      <c r="I27" s="4" t="s">
        <v>11</v>
      </c>
      <c r="J27" s="4" t="s">
        <v>29</v>
      </c>
      <c r="K27" s="4" t="s">
        <v>12</v>
      </c>
      <c r="L27" s="4" t="s">
        <v>13</v>
      </c>
      <c r="M27" s="4" t="s">
        <v>14</v>
      </c>
      <c r="N27" s="4" t="s">
        <v>6</v>
      </c>
      <c r="O27" s="4" t="s">
        <v>15</v>
      </c>
      <c r="P27" s="4" t="s">
        <v>16</v>
      </c>
      <c r="Q27" s="4" t="s">
        <v>0</v>
      </c>
      <c r="R27" s="4" t="s">
        <v>17</v>
      </c>
      <c r="S27" s="4" t="s">
        <v>18</v>
      </c>
    </row>
    <row r="28" spans="1:30" x14ac:dyDescent="0.35">
      <c r="A28" s="2">
        <v>1</v>
      </c>
      <c r="B28" s="2" t="s">
        <v>22</v>
      </c>
      <c r="C28" s="2" t="s">
        <v>21</v>
      </c>
      <c r="D28" s="2" t="s">
        <v>2</v>
      </c>
      <c r="E28" s="17">
        <f>I25+100</f>
        <v>2690.7999999999997</v>
      </c>
      <c r="F28" s="17">
        <f>J25+40</f>
        <v>649.59999999999991</v>
      </c>
      <c r="G28" s="2">
        <v>16</v>
      </c>
      <c r="H28" s="2">
        <v>2</v>
      </c>
      <c r="I28" s="2">
        <f t="shared" ref="I28:I35" si="3">E28*F28*G28*H28/304.8/304.8/304.8</f>
        <v>1.9752975522282328</v>
      </c>
      <c r="J28" s="2">
        <f>I36*10%</f>
        <v>0.46668001724928765</v>
      </c>
      <c r="K28" s="2">
        <v>925</v>
      </c>
      <c r="L28" s="2">
        <v>190</v>
      </c>
      <c r="M28" s="6">
        <v>20</v>
      </c>
      <c r="N28" s="6">
        <v>50</v>
      </c>
      <c r="O28" s="6">
        <v>50</v>
      </c>
      <c r="P28" s="6">
        <v>30</v>
      </c>
      <c r="Q28" s="6"/>
      <c r="R28" s="7">
        <v>0.2</v>
      </c>
      <c r="S28" s="6"/>
    </row>
    <row r="29" spans="1:30" x14ac:dyDescent="0.35">
      <c r="A29" s="2">
        <v>2</v>
      </c>
      <c r="B29" s="2" t="s">
        <v>22</v>
      </c>
      <c r="C29" s="2" t="s">
        <v>21</v>
      </c>
      <c r="D29" s="2" t="s">
        <v>3</v>
      </c>
      <c r="E29" s="17">
        <f>I25+100</f>
        <v>2690.7999999999997</v>
      </c>
      <c r="F29" s="17">
        <f>K25</f>
        <v>381</v>
      </c>
      <c r="G29" s="2">
        <v>16</v>
      </c>
      <c r="H29" s="2">
        <v>2</v>
      </c>
      <c r="I29" s="2">
        <f t="shared" si="3"/>
        <v>1.1585412059713005</v>
      </c>
      <c r="J29" s="2"/>
      <c r="K29" s="2"/>
      <c r="L29" s="2"/>
      <c r="M29" s="6"/>
      <c r="N29" s="6"/>
      <c r="O29" s="6"/>
      <c r="P29" s="6"/>
      <c r="Q29" s="6"/>
      <c r="R29" s="6"/>
      <c r="S29" s="6"/>
    </row>
    <row r="30" spans="1:30" x14ac:dyDescent="0.35">
      <c r="A30" s="2">
        <v>3</v>
      </c>
      <c r="B30" s="2" t="s">
        <v>22</v>
      </c>
      <c r="C30" s="2" t="s">
        <v>21</v>
      </c>
      <c r="D30" s="2" t="s">
        <v>4</v>
      </c>
      <c r="E30" s="17">
        <f>J25</f>
        <v>609.59999999999991</v>
      </c>
      <c r="F30" s="17">
        <f>K25</f>
        <v>381</v>
      </c>
      <c r="G30" s="2">
        <v>16</v>
      </c>
      <c r="H30" s="2">
        <v>2</v>
      </c>
      <c r="I30" s="2">
        <f t="shared" si="3"/>
        <v>0.26246719160104981</v>
      </c>
      <c r="J30" s="2"/>
      <c r="K30" s="2"/>
      <c r="L30" s="2"/>
      <c r="M30" s="6"/>
      <c r="N30" s="6"/>
      <c r="O30" s="6"/>
      <c r="P30" s="6"/>
      <c r="Q30" s="6"/>
      <c r="R30" s="6"/>
      <c r="S30" s="6"/>
    </row>
    <row r="31" spans="1:30" x14ac:dyDescent="0.35">
      <c r="A31" s="2">
        <v>4</v>
      </c>
      <c r="B31" s="2" t="s">
        <v>22</v>
      </c>
      <c r="C31" s="2" t="s">
        <v>21</v>
      </c>
      <c r="D31" s="2" t="s">
        <v>19</v>
      </c>
      <c r="E31" s="17">
        <f>J25+40</f>
        <v>649.59999999999991</v>
      </c>
      <c r="F31" s="2">
        <v>75</v>
      </c>
      <c r="G31" s="2">
        <v>19</v>
      </c>
      <c r="H31" s="2">
        <v>4</v>
      </c>
      <c r="I31" s="2">
        <f t="shared" si="3"/>
        <v>0.13076032276299018</v>
      </c>
      <c r="J31" s="2"/>
      <c r="K31" s="2"/>
      <c r="L31" s="2"/>
      <c r="M31" s="6"/>
      <c r="N31" s="6"/>
      <c r="O31" s="6"/>
      <c r="P31" s="6"/>
      <c r="Q31" s="6"/>
      <c r="R31" s="6"/>
      <c r="S31" s="6"/>
    </row>
    <row r="32" spans="1:30" x14ac:dyDescent="0.35">
      <c r="A32" s="2">
        <v>5</v>
      </c>
      <c r="B32" s="2" t="s">
        <v>22</v>
      </c>
      <c r="C32" s="2" t="s">
        <v>21</v>
      </c>
      <c r="D32" s="2" t="s">
        <v>20</v>
      </c>
      <c r="E32" s="17">
        <f>J25+40</f>
        <v>649.59999999999991</v>
      </c>
      <c r="F32" s="2">
        <v>100</v>
      </c>
      <c r="G32" s="2">
        <v>75</v>
      </c>
      <c r="H32" s="2">
        <v>4</v>
      </c>
      <c r="I32" s="2">
        <f t="shared" si="3"/>
        <v>0.68821222506836943</v>
      </c>
      <c r="J32" s="2"/>
      <c r="K32" s="2"/>
      <c r="L32" s="2"/>
      <c r="M32" s="6"/>
      <c r="N32" s="6"/>
      <c r="O32" s="6"/>
      <c r="P32" s="6"/>
      <c r="Q32" s="6"/>
      <c r="R32" s="6"/>
      <c r="S32" s="6"/>
    </row>
    <row r="33" spans="1:19" x14ac:dyDescent="0.35">
      <c r="A33" s="2">
        <v>6</v>
      </c>
      <c r="B33" s="2" t="s">
        <v>22</v>
      </c>
      <c r="C33" s="2" t="s">
        <v>21</v>
      </c>
      <c r="D33" s="2" t="s">
        <v>5</v>
      </c>
      <c r="E33" s="17">
        <f>K25+150</f>
        <v>531</v>
      </c>
      <c r="F33" s="2">
        <v>75</v>
      </c>
      <c r="G33" s="2">
        <v>19</v>
      </c>
      <c r="H33" s="2">
        <v>8</v>
      </c>
      <c r="I33" s="2">
        <f t="shared" si="3"/>
        <v>0.21377380353185901</v>
      </c>
      <c r="J33" s="2"/>
      <c r="K33" s="2"/>
      <c r="L33" s="2"/>
      <c r="M33" s="6"/>
      <c r="N33" s="6"/>
      <c r="O33" s="6"/>
      <c r="P33" s="6"/>
      <c r="Q33" s="6"/>
      <c r="R33" s="6"/>
      <c r="S33" s="6"/>
    </row>
    <row r="34" spans="1:19" x14ac:dyDescent="0.35">
      <c r="A34" s="2">
        <v>7</v>
      </c>
      <c r="B34" s="2" t="s">
        <v>22</v>
      </c>
      <c r="C34" s="2" t="s">
        <v>21</v>
      </c>
      <c r="D34" s="2" t="s">
        <v>47</v>
      </c>
      <c r="E34" s="17">
        <f>K25</f>
        <v>381</v>
      </c>
      <c r="F34" s="2">
        <v>75</v>
      </c>
      <c r="G34" s="2">
        <v>19</v>
      </c>
      <c r="H34" s="2">
        <v>6</v>
      </c>
      <c r="I34" s="2">
        <f t="shared" si="3"/>
        <v>0.11503929257858515</v>
      </c>
      <c r="J34" s="2"/>
      <c r="K34" s="2"/>
      <c r="L34" s="2"/>
      <c r="M34" s="6"/>
      <c r="N34" s="6"/>
      <c r="O34" s="6"/>
      <c r="P34" s="6"/>
      <c r="Q34" s="6"/>
      <c r="R34" s="6"/>
      <c r="S34" s="6"/>
    </row>
    <row r="35" spans="1:19" x14ac:dyDescent="0.35">
      <c r="A35" s="2">
        <v>8</v>
      </c>
      <c r="B35" s="2" t="s">
        <v>22</v>
      </c>
      <c r="C35" s="2" t="s">
        <v>21</v>
      </c>
      <c r="D35" s="2" t="s">
        <v>48</v>
      </c>
      <c r="E35" s="17">
        <f>J25</f>
        <v>609.59999999999991</v>
      </c>
      <c r="F35" s="2">
        <v>75</v>
      </c>
      <c r="G35" s="2">
        <v>19</v>
      </c>
      <c r="H35" s="2">
        <v>4</v>
      </c>
      <c r="I35" s="2">
        <f t="shared" si="3"/>
        <v>0.12270857875049081</v>
      </c>
      <c r="J35" s="2"/>
      <c r="K35" s="2"/>
      <c r="L35" s="2"/>
      <c r="M35" s="6"/>
      <c r="N35" s="6"/>
      <c r="O35" s="6"/>
      <c r="P35" s="6"/>
      <c r="Q35" s="6"/>
      <c r="R35" s="6"/>
      <c r="S35" s="6"/>
    </row>
    <row r="36" spans="1:19" ht="15.5" x14ac:dyDescent="0.35">
      <c r="A36" s="3"/>
      <c r="B36" s="3"/>
      <c r="C36" s="3"/>
      <c r="D36" s="3"/>
      <c r="E36" s="3"/>
      <c r="F36" s="3"/>
      <c r="G36" s="3"/>
      <c r="H36" s="3"/>
      <c r="I36" s="4">
        <f>SUM(I28:I35)</f>
        <v>4.6668001724928763</v>
      </c>
      <c r="J36" s="4">
        <f>J28+I36</f>
        <v>5.1334801897421638</v>
      </c>
      <c r="K36" s="4">
        <f>J36*K28</f>
        <v>4748.4691755115018</v>
      </c>
      <c r="L36" s="4">
        <f>J36*L28</f>
        <v>975.36123605101113</v>
      </c>
      <c r="M36" s="4">
        <f>J36*M28</f>
        <v>102.66960379484328</v>
      </c>
      <c r="N36" s="4">
        <f>J36*N28</f>
        <v>256.67400948710821</v>
      </c>
      <c r="O36" s="4">
        <f>J36*O28</f>
        <v>256.67400948710821</v>
      </c>
      <c r="P36" s="4">
        <f>J36*P28</f>
        <v>154.00440569226492</v>
      </c>
      <c r="Q36" s="4">
        <f>SUM(K36:P36)</f>
        <v>6493.8524400238384</v>
      </c>
      <c r="R36" s="4">
        <f>Q36*R28</f>
        <v>1298.7704880047677</v>
      </c>
      <c r="S36" s="5">
        <f>Q36+R36</f>
        <v>7792.6229280286061</v>
      </c>
    </row>
    <row r="42" spans="1:19" ht="15.5" x14ac:dyDescent="0.35">
      <c r="H42" s="10">
        <v>25.4</v>
      </c>
      <c r="I42" s="16">
        <v>47</v>
      </c>
      <c r="J42" s="16">
        <v>30</v>
      </c>
      <c r="K42" s="16">
        <v>38</v>
      </c>
    </row>
    <row r="43" spans="1:19" x14ac:dyDescent="0.35">
      <c r="I43" s="14">
        <f>H42*I42</f>
        <v>1193.8</v>
      </c>
      <c r="J43" s="14">
        <f>H42*J42</f>
        <v>762</v>
      </c>
      <c r="K43" s="14">
        <f>H42*K42</f>
        <v>965.19999999999993</v>
      </c>
    </row>
    <row r="44" spans="1:19" ht="18.5" x14ac:dyDescent="0.45">
      <c r="A44" s="1">
        <v>3</v>
      </c>
      <c r="B44" s="1"/>
      <c r="C44" s="1"/>
      <c r="D44" s="1"/>
      <c r="E44" s="1"/>
      <c r="F44" s="1"/>
      <c r="G44" s="1"/>
      <c r="H44" s="18" t="s">
        <v>54</v>
      </c>
      <c r="I44" s="19"/>
      <c r="J44" s="19"/>
      <c r="K44" s="19"/>
      <c r="L44" s="19"/>
      <c r="M44" s="20"/>
      <c r="N44" s="1"/>
      <c r="O44" s="1"/>
      <c r="P44" s="1"/>
      <c r="Q44" s="1"/>
      <c r="R44" s="1"/>
      <c r="S44" s="1"/>
    </row>
    <row r="45" spans="1:19" ht="15.5" x14ac:dyDescent="0.35">
      <c r="A45" s="4" t="s">
        <v>7</v>
      </c>
      <c r="B45" s="4" t="s">
        <v>8</v>
      </c>
      <c r="C45" s="4" t="s">
        <v>9</v>
      </c>
      <c r="D45" s="4" t="s">
        <v>24</v>
      </c>
      <c r="E45" s="4" t="s">
        <v>10</v>
      </c>
      <c r="F45" s="4" t="s">
        <v>25</v>
      </c>
      <c r="G45" s="4" t="s">
        <v>26</v>
      </c>
      <c r="H45" s="4" t="s">
        <v>1</v>
      </c>
      <c r="I45" s="4" t="s">
        <v>11</v>
      </c>
      <c r="J45" s="4" t="s">
        <v>29</v>
      </c>
      <c r="K45" s="4" t="s">
        <v>12</v>
      </c>
      <c r="L45" s="4" t="s">
        <v>13</v>
      </c>
      <c r="M45" s="4" t="s">
        <v>14</v>
      </c>
      <c r="N45" s="4" t="s">
        <v>6</v>
      </c>
      <c r="O45" s="4" t="s">
        <v>15</v>
      </c>
      <c r="P45" s="4" t="s">
        <v>16</v>
      </c>
      <c r="Q45" s="4" t="s">
        <v>0</v>
      </c>
      <c r="R45" s="4" t="s">
        <v>17</v>
      </c>
      <c r="S45" s="4" t="s">
        <v>18</v>
      </c>
    </row>
    <row r="46" spans="1:19" x14ac:dyDescent="0.35">
      <c r="A46" s="2">
        <v>1</v>
      </c>
      <c r="B46" s="2" t="s">
        <v>22</v>
      </c>
      <c r="C46" s="2" t="s">
        <v>21</v>
      </c>
      <c r="D46" s="2" t="s">
        <v>2</v>
      </c>
      <c r="E46" s="17">
        <f>I43+100</f>
        <v>1293.8</v>
      </c>
      <c r="F46" s="17">
        <f>J43+40</f>
        <v>802</v>
      </c>
      <c r="G46" s="2">
        <v>16</v>
      </c>
      <c r="H46" s="2">
        <v>2</v>
      </c>
      <c r="I46" s="2">
        <f t="shared" ref="I46:I53" si="4">E46*F46*G46*H46/304.8/304.8/304.8</f>
        <v>1.1725911320005782</v>
      </c>
      <c r="J46" s="2">
        <f>I54*10%</f>
        <v>0.45897958269378192</v>
      </c>
      <c r="K46" s="2">
        <v>925</v>
      </c>
      <c r="L46" s="2">
        <v>190</v>
      </c>
      <c r="M46" s="6">
        <v>20</v>
      </c>
      <c r="N46" s="6">
        <v>50</v>
      </c>
      <c r="O46" s="6">
        <v>50</v>
      </c>
      <c r="P46" s="6">
        <v>30</v>
      </c>
      <c r="Q46" s="6"/>
      <c r="R46" s="7">
        <v>0.2</v>
      </c>
      <c r="S46" s="6"/>
    </row>
    <row r="47" spans="1:19" x14ac:dyDescent="0.35">
      <c r="A47" s="2">
        <v>2</v>
      </c>
      <c r="B47" s="2" t="s">
        <v>22</v>
      </c>
      <c r="C47" s="2" t="s">
        <v>21</v>
      </c>
      <c r="D47" s="2" t="s">
        <v>3</v>
      </c>
      <c r="E47" s="17">
        <f>I43+100</f>
        <v>1293.8</v>
      </c>
      <c r="F47" s="17">
        <f>K43</f>
        <v>965.19999999999993</v>
      </c>
      <c r="G47" s="2">
        <v>16</v>
      </c>
      <c r="H47" s="2">
        <v>2</v>
      </c>
      <c r="I47" s="2">
        <f t="shared" si="4"/>
        <v>1.4112031927767557</v>
      </c>
      <c r="J47" s="2"/>
      <c r="K47" s="2"/>
      <c r="L47" s="2"/>
      <c r="M47" s="6"/>
      <c r="N47" s="6"/>
      <c r="O47" s="6"/>
      <c r="P47" s="6"/>
      <c r="Q47" s="6"/>
      <c r="R47" s="6"/>
      <c r="S47" s="6"/>
    </row>
    <row r="48" spans="1:19" x14ac:dyDescent="0.35">
      <c r="A48" s="2">
        <v>3</v>
      </c>
      <c r="B48" s="2" t="s">
        <v>22</v>
      </c>
      <c r="C48" s="2" t="s">
        <v>21</v>
      </c>
      <c r="D48" s="2" t="s">
        <v>4</v>
      </c>
      <c r="E48" s="17">
        <f>J43</f>
        <v>762</v>
      </c>
      <c r="F48" s="17">
        <f>K43</f>
        <v>965.19999999999993</v>
      </c>
      <c r="G48" s="2">
        <v>16</v>
      </c>
      <c r="H48" s="2">
        <v>2</v>
      </c>
      <c r="I48" s="2">
        <f t="shared" si="4"/>
        <v>0.83114610673665779</v>
      </c>
      <c r="J48" s="2"/>
      <c r="K48" s="2"/>
      <c r="L48" s="2"/>
      <c r="M48" s="6"/>
      <c r="N48" s="6"/>
      <c r="O48" s="6"/>
      <c r="P48" s="6"/>
      <c r="Q48" s="6"/>
      <c r="R48" s="6"/>
      <c r="S48" s="6"/>
    </row>
    <row r="49" spans="1:19" x14ac:dyDescent="0.35">
      <c r="A49" s="2">
        <v>4</v>
      </c>
      <c r="B49" s="2" t="s">
        <v>22</v>
      </c>
      <c r="C49" s="2" t="s">
        <v>21</v>
      </c>
      <c r="D49" s="2" t="s">
        <v>19</v>
      </c>
      <c r="E49" s="17">
        <f>J43+40</f>
        <v>802</v>
      </c>
      <c r="F49" s="2">
        <v>75</v>
      </c>
      <c r="G49" s="2">
        <v>19</v>
      </c>
      <c r="H49" s="2">
        <v>2</v>
      </c>
      <c r="I49" s="2">
        <f t="shared" si="4"/>
        <v>8.0718733725306455E-2</v>
      </c>
      <c r="J49" s="2"/>
      <c r="K49" s="2"/>
      <c r="L49" s="2"/>
      <c r="M49" s="6"/>
      <c r="N49" s="6"/>
      <c r="O49" s="6"/>
      <c r="P49" s="6"/>
      <c r="Q49" s="6"/>
      <c r="R49" s="6"/>
      <c r="S49" s="6"/>
    </row>
    <row r="50" spans="1:19" x14ac:dyDescent="0.35">
      <c r="A50" s="2">
        <v>5</v>
      </c>
      <c r="B50" s="2" t="s">
        <v>22</v>
      </c>
      <c r="C50" s="2" t="s">
        <v>21</v>
      </c>
      <c r="D50" s="2" t="s">
        <v>20</v>
      </c>
      <c r="E50" s="17">
        <f>J43+40</f>
        <v>802</v>
      </c>
      <c r="F50" s="2">
        <v>100</v>
      </c>
      <c r="G50" s="2">
        <v>75</v>
      </c>
      <c r="H50" s="2">
        <v>2</v>
      </c>
      <c r="I50" s="2">
        <f t="shared" si="4"/>
        <v>0.42483544065950773</v>
      </c>
      <c r="J50" s="2"/>
      <c r="K50" s="2"/>
      <c r="L50" s="2"/>
      <c r="M50" s="6"/>
      <c r="N50" s="6"/>
      <c r="O50" s="6"/>
      <c r="P50" s="6"/>
      <c r="Q50" s="6"/>
      <c r="R50" s="6"/>
      <c r="S50" s="6"/>
    </row>
    <row r="51" spans="1:19" x14ac:dyDescent="0.35">
      <c r="A51" s="2">
        <v>6</v>
      </c>
      <c r="B51" s="2" t="s">
        <v>22</v>
      </c>
      <c r="C51" s="2" t="s">
        <v>21</v>
      </c>
      <c r="D51" s="2" t="s">
        <v>5</v>
      </c>
      <c r="E51" s="17">
        <f>K43+150</f>
        <v>1115.1999999999998</v>
      </c>
      <c r="F51" s="2">
        <v>75</v>
      </c>
      <c r="G51" s="2">
        <v>19</v>
      </c>
      <c r="H51" s="2">
        <v>4</v>
      </c>
      <c r="I51" s="2">
        <f t="shared" si="4"/>
        <v>0.22448262306848321</v>
      </c>
      <c r="J51" s="2"/>
      <c r="K51" s="2"/>
      <c r="L51" s="2"/>
      <c r="M51" s="6"/>
      <c r="N51" s="6"/>
      <c r="O51" s="6"/>
      <c r="P51" s="6"/>
      <c r="Q51" s="6"/>
      <c r="R51" s="6"/>
      <c r="S51" s="6"/>
    </row>
    <row r="52" spans="1:19" x14ac:dyDescent="0.35">
      <c r="A52" s="2">
        <v>7</v>
      </c>
      <c r="B52" s="2" t="s">
        <v>22</v>
      </c>
      <c r="C52" s="2" t="s">
        <v>21</v>
      </c>
      <c r="D52" s="2" t="s">
        <v>47</v>
      </c>
      <c r="E52" s="17">
        <f>K43</f>
        <v>965.19999999999993</v>
      </c>
      <c r="F52" s="2">
        <v>75</v>
      </c>
      <c r="G52" s="2">
        <v>19</v>
      </c>
      <c r="H52" s="2">
        <v>6</v>
      </c>
      <c r="I52" s="2">
        <f t="shared" si="4"/>
        <v>0.29143287453241573</v>
      </c>
      <c r="J52" s="2"/>
      <c r="K52" s="2"/>
      <c r="L52" s="2"/>
      <c r="M52" s="6"/>
      <c r="N52" s="6"/>
      <c r="O52" s="6"/>
      <c r="P52" s="6"/>
      <c r="Q52" s="6"/>
      <c r="R52" s="6"/>
      <c r="S52" s="6"/>
    </row>
    <row r="53" spans="1:19" x14ac:dyDescent="0.35">
      <c r="A53" s="2">
        <v>8</v>
      </c>
      <c r="B53" s="2" t="s">
        <v>22</v>
      </c>
      <c r="C53" s="2" t="s">
        <v>21</v>
      </c>
      <c r="D53" s="2" t="s">
        <v>48</v>
      </c>
      <c r="E53" s="17">
        <f>J43</f>
        <v>762</v>
      </c>
      <c r="F53" s="2">
        <v>75</v>
      </c>
      <c r="G53" s="2">
        <v>19</v>
      </c>
      <c r="H53" s="2">
        <v>4</v>
      </c>
      <c r="I53" s="2">
        <f t="shared" si="4"/>
        <v>0.15338572343811355</v>
      </c>
      <c r="J53" s="2"/>
      <c r="K53" s="2"/>
      <c r="L53" s="2"/>
      <c r="M53" s="6"/>
      <c r="N53" s="6"/>
      <c r="O53" s="6"/>
      <c r="P53" s="6"/>
      <c r="Q53" s="6"/>
      <c r="R53" s="6"/>
      <c r="S53" s="6"/>
    </row>
    <row r="54" spans="1:19" ht="15.5" x14ac:dyDescent="0.35">
      <c r="A54" s="3"/>
      <c r="B54" s="3"/>
      <c r="C54" s="3"/>
      <c r="D54" s="3"/>
      <c r="E54" s="3"/>
      <c r="F54" s="3"/>
      <c r="G54" s="3"/>
      <c r="H54" s="3"/>
      <c r="I54" s="4">
        <f>SUM(I46:I53)</f>
        <v>4.5897958269378192</v>
      </c>
      <c r="J54" s="4">
        <f>J46+I54</f>
        <v>5.0487754096316007</v>
      </c>
      <c r="K54" s="4">
        <f>J54*K46</f>
        <v>4670.1172539092304</v>
      </c>
      <c r="L54" s="4">
        <f>J54*L46</f>
        <v>959.26732783000409</v>
      </c>
      <c r="M54" s="4">
        <f>J54*M46</f>
        <v>100.97550819263202</v>
      </c>
      <c r="N54" s="4">
        <f>J54*N46</f>
        <v>252.43877048158004</v>
      </c>
      <c r="O54" s="4">
        <f>J54*O46</f>
        <v>252.43877048158004</v>
      </c>
      <c r="P54" s="4">
        <f>J54*P46</f>
        <v>151.46326228894802</v>
      </c>
      <c r="Q54" s="4">
        <f>SUM(K54:P54)</f>
        <v>6386.7008931839746</v>
      </c>
      <c r="R54" s="4">
        <f>Q54*R46</f>
        <v>1277.3401786367949</v>
      </c>
      <c r="S54" s="5">
        <f>Q54+R54</f>
        <v>7664.0410718207695</v>
      </c>
    </row>
  </sheetData>
  <mergeCells count="3">
    <mergeCell ref="H8:M8"/>
    <mergeCell ref="H26:M26"/>
    <mergeCell ref="H44:M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0DAF-E7E9-472A-BE4B-63F1BD169A99}">
  <dimension ref="A6:S38"/>
  <sheetViews>
    <sheetView tabSelected="1" workbookViewId="0">
      <selection activeCell="I22" sqref="I22"/>
    </sheetView>
  </sheetViews>
  <sheetFormatPr defaultRowHeight="14.5" x14ac:dyDescent="0.35"/>
  <cols>
    <col min="1" max="1" width="9.26953125" customWidth="1"/>
    <col min="2" max="2" width="11.26953125" customWidth="1"/>
    <col min="3" max="3" width="11.54296875" customWidth="1"/>
    <col min="4" max="4" width="9.7265625" customWidth="1"/>
    <col min="5" max="5" width="9" customWidth="1"/>
    <col min="6" max="6" width="10.26953125" customWidth="1"/>
    <col min="7" max="7" width="8.7265625" customWidth="1"/>
    <col min="10" max="10" width="10.7265625" customWidth="1"/>
    <col min="11" max="11" width="10.26953125" customWidth="1"/>
    <col min="12" max="12" width="11.453125" customWidth="1"/>
    <col min="13" max="13" width="10.81640625" customWidth="1"/>
    <col min="14" max="14" width="14.7265625" customWidth="1"/>
    <col min="15" max="15" width="17.1796875" customWidth="1"/>
    <col min="19" max="19" width="13.453125" customWidth="1"/>
  </cols>
  <sheetData>
    <row r="6" spans="1:19" ht="15.5" x14ac:dyDescent="0.35">
      <c r="H6" s="10">
        <v>25.4</v>
      </c>
      <c r="I6" s="16">
        <v>102</v>
      </c>
      <c r="J6" s="16">
        <v>12</v>
      </c>
      <c r="K6" s="16">
        <v>15</v>
      </c>
    </row>
    <row r="7" spans="1:19" x14ac:dyDescent="0.35">
      <c r="I7" s="14">
        <f>H6*I6</f>
        <v>2590.7999999999997</v>
      </c>
      <c r="J7" s="14">
        <f>H6*J6</f>
        <v>304.79999999999995</v>
      </c>
      <c r="K7" s="14">
        <f>H6*K6</f>
        <v>381</v>
      </c>
    </row>
    <row r="8" spans="1:19" ht="18.5" x14ac:dyDescent="0.45">
      <c r="A8" s="1">
        <v>1</v>
      </c>
      <c r="B8" s="1"/>
      <c r="C8" s="1"/>
      <c r="D8" s="1"/>
      <c r="E8" s="1"/>
      <c r="F8" s="1"/>
      <c r="G8" s="1"/>
      <c r="H8" s="18" t="s">
        <v>53</v>
      </c>
      <c r="I8" s="19"/>
      <c r="J8" s="19"/>
      <c r="K8" s="19"/>
      <c r="L8" s="19"/>
      <c r="M8" s="20"/>
      <c r="N8" s="1"/>
      <c r="O8" s="1"/>
      <c r="P8" s="1"/>
      <c r="Q8" s="1"/>
      <c r="R8" s="1"/>
      <c r="S8" s="1"/>
    </row>
    <row r="9" spans="1:19" ht="15.5" x14ac:dyDescent="0.35">
      <c r="A9" s="4" t="s">
        <v>7</v>
      </c>
      <c r="B9" s="4" t="s">
        <v>8</v>
      </c>
      <c r="C9" s="4" t="s">
        <v>9</v>
      </c>
      <c r="D9" s="4" t="s">
        <v>24</v>
      </c>
      <c r="E9" s="4" t="s">
        <v>10</v>
      </c>
      <c r="F9" s="4" t="s">
        <v>25</v>
      </c>
      <c r="G9" s="4" t="s">
        <v>26</v>
      </c>
      <c r="H9" s="4" t="s">
        <v>1</v>
      </c>
      <c r="I9" s="4" t="s">
        <v>11</v>
      </c>
      <c r="J9" s="4" t="s">
        <v>29</v>
      </c>
      <c r="K9" s="4" t="s">
        <v>12</v>
      </c>
      <c r="L9" s="4" t="s">
        <v>13</v>
      </c>
      <c r="M9" s="4" t="s">
        <v>14</v>
      </c>
      <c r="N9" s="4" t="s">
        <v>6</v>
      </c>
      <c r="O9" s="4" t="s">
        <v>15</v>
      </c>
      <c r="P9" s="4" t="s">
        <v>16</v>
      </c>
      <c r="Q9" s="4" t="s">
        <v>0</v>
      </c>
      <c r="R9" s="4" t="s">
        <v>17</v>
      </c>
      <c r="S9" s="4" t="s">
        <v>18</v>
      </c>
    </row>
    <row r="10" spans="1:19" x14ac:dyDescent="0.35">
      <c r="A10" s="2">
        <v>1</v>
      </c>
      <c r="B10" s="2" t="s">
        <v>22</v>
      </c>
      <c r="C10" s="2" t="s">
        <v>21</v>
      </c>
      <c r="D10" s="2" t="s">
        <v>2</v>
      </c>
      <c r="E10" s="17">
        <f>I7+100</f>
        <v>2690.7999999999997</v>
      </c>
      <c r="F10" s="17">
        <f>J7+40</f>
        <v>344.79999999999995</v>
      </c>
      <c r="G10" s="2">
        <v>16</v>
      </c>
      <c r="H10" s="2">
        <v>2</v>
      </c>
      <c r="I10" s="2">
        <f t="shared" ref="I10:I17" si="0">E10*F10*G10*H10/304.8/304.8/304.8</f>
        <v>1.0484645874511924</v>
      </c>
      <c r="J10" s="2">
        <f>I18*10%</f>
        <v>0.316310772066353</v>
      </c>
      <c r="K10" s="2">
        <v>925</v>
      </c>
      <c r="L10" s="2">
        <v>190</v>
      </c>
      <c r="M10" s="6">
        <v>20</v>
      </c>
      <c r="N10" s="6">
        <v>50</v>
      </c>
      <c r="O10" s="6">
        <v>50</v>
      </c>
      <c r="P10" s="6">
        <v>30</v>
      </c>
      <c r="Q10" s="6"/>
      <c r="R10" s="7">
        <v>0.2</v>
      </c>
      <c r="S10" s="6"/>
    </row>
    <row r="11" spans="1:19" x14ac:dyDescent="0.35">
      <c r="A11" s="2">
        <v>2</v>
      </c>
      <c r="B11" s="2" t="s">
        <v>22</v>
      </c>
      <c r="C11" s="2" t="s">
        <v>21</v>
      </c>
      <c r="D11" s="2" t="s">
        <v>3</v>
      </c>
      <c r="E11" s="17">
        <f>I7+100</f>
        <v>2690.7999999999997</v>
      </c>
      <c r="F11" s="17">
        <f>K7</f>
        <v>381</v>
      </c>
      <c r="G11" s="2">
        <v>16</v>
      </c>
      <c r="H11" s="2">
        <v>2</v>
      </c>
      <c r="I11" s="2">
        <f t="shared" si="0"/>
        <v>1.1585412059713005</v>
      </c>
      <c r="J11" s="2"/>
      <c r="K11" s="2"/>
      <c r="L11" s="2"/>
      <c r="M11" s="6"/>
      <c r="N11" s="6"/>
      <c r="O11" s="6"/>
      <c r="P11" s="6"/>
      <c r="Q11" s="6"/>
      <c r="R11" s="6"/>
      <c r="S11" s="6"/>
    </row>
    <row r="12" spans="1:19" x14ac:dyDescent="0.35">
      <c r="A12" s="2">
        <v>3</v>
      </c>
      <c r="B12" s="2" t="s">
        <v>22</v>
      </c>
      <c r="C12" s="2" t="s">
        <v>21</v>
      </c>
      <c r="D12" s="2" t="s">
        <v>4</v>
      </c>
      <c r="E12" s="17">
        <f>J7</f>
        <v>304.79999999999995</v>
      </c>
      <c r="F12" s="17">
        <f>K7</f>
        <v>381</v>
      </c>
      <c r="G12" s="2">
        <v>16</v>
      </c>
      <c r="H12" s="2">
        <v>2</v>
      </c>
      <c r="I12" s="2">
        <f t="shared" si="0"/>
        <v>0.1312335958005249</v>
      </c>
      <c r="J12" s="2"/>
      <c r="K12" s="2"/>
      <c r="L12" s="2"/>
      <c r="M12" s="6"/>
      <c r="N12" s="6"/>
      <c r="O12" s="6"/>
      <c r="P12" s="6"/>
      <c r="Q12" s="6"/>
      <c r="R12" s="6"/>
      <c r="S12" s="6"/>
    </row>
    <row r="13" spans="1:19" x14ac:dyDescent="0.35">
      <c r="A13" s="2">
        <v>4</v>
      </c>
      <c r="B13" s="2" t="s">
        <v>22</v>
      </c>
      <c r="C13" s="2" t="s">
        <v>21</v>
      </c>
      <c r="D13" s="2" t="s">
        <v>19</v>
      </c>
      <c r="E13" s="17">
        <f>J7+40</f>
        <v>344.79999999999995</v>
      </c>
      <c r="F13" s="2">
        <v>75</v>
      </c>
      <c r="G13" s="2">
        <v>19</v>
      </c>
      <c r="H13" s="2">
        <v>4</v>
      </c>
      <c r="I13" s="2">
        <f t="shared" si="0"/>
        <v>6.94060333877448E-2</v>
      </c>
      <c r="J13" s="2"/>
      <c r="K13" s="2"/>
      <c r="L13" s="2"/>
      <c r="M13" s="6"/>
      <c r="N13" s="6"/>
      <c r="O13" s="6"/>
      <c r="P13" s="6"/>
      <c r="Q13" s="6"/>
      <c r="R13" s="6"/>
      <c r="S13" s="6"/>
    </row>
    <row r="14" spans="1:19" x14ac:dyDescent="0.35">
      <c r="A14" s="2">
        <v>5</v>
      </c>
      <c r="B14" s="2" t="s">
        <v>22</v>
      </c>
      <c r="C14" s="2" t="s">
        <v>21</v>
      </c>
      <c r="D14" s="2" t="s">
        <v>20</v>
      </c>
      <c r="E14" s="17">
        <f>J7+40</f>
        <v>344.79999999999995</v>
      </c>
      <c r="F14" s="2">
        <v>100</v>
      </c>
      <c r="G14" s="2">
        <v>75</v>
      </c>
      <c r="H14" s="2">
        <v>4</v>
      </c>
      <c r="I14" s="2">
        <f t="shared" si="0"/>
        <v>0.36529491256707786</v>
      </c>
      <c r="J14" s="2"/>
      <c r="K14" s="2"/>
      <c r="L14" s="2"/>
      <c r="M14" s="6"/>
      <c r="N14" s="6"/>
      <c r="O14" s="6"/>
      <c r="P14" s="6"/>
      <c r="Q14" s="6"/>
      <c r="R14" s="6"/>
      <c r="S14" s="6"/>
    </row>
    <row r="15" spans="1:19" x14ac:dyDescent="0.35">
      <c r="A15" s="2">
        <v>6</v>
      </c>
      <c r="B15" s="2" t="s">
        <v>22</v>
      </c>
      <c r="C15" s="2" t="s">
        <v>21</v>
      </c>
      <c r="D15" s="2" t="s">
        <v>5</v>
      </c>
      <c r="E15" s="17">
        <f>K7+150</f>
        <v>531</v>
      </c>
      <c r="F15" s="2">
        <v>75</v>
      </c>
      <c r="G15" s="2">
        <v>19</v>
      </c>
      <c r="H15" s="2">
        <v>8</v>
      </c>
      <c r="I15" s="2">
        <f t="shared" si="0"/>
        <v>0.21377380353185901</v>
      </c>
      <c r="J15" s="2"/>
      <c r="K15" s="2"/>
      <c r="L15" s="2"/>
      <c r="M15" s="6"/>
      <c r="N15" s="6"/>
      <c r="O15" s="6"/>
      <c r="P15" s="6"/>
      <c r="Q15" s="6"/>
      <c r="R15" s="6"/>
      <c r="S15" s="6"/>
    </row>
    <row r="16" spans="1:19" x14ac:dyDescent="0.35">
      <c r="A16" s="2">
        <v>7</v>
      </c>
      <c r="B16" s="2" t="s">
        <v>22</v>
      </c>
      <c r="C16" s="2" t="s">
        <v>21</v>
      </c>
      <c r="D16" s="2" t="s">
        <v>47</v>
      </c>
      <c r="E16" s="17">
        <f>K7</f>
        <v>381</v>
      </c>
      <c r="F16" s="2">
        <v>75</v>
      </c>
      <c r="G16" s="2">
        <v>19</v>
      </c>
      <c r="H16" s="2">
        <v>6</v>
      </c>
      <c r="I16" s="2">
        <f t="shared" si="0"/>
        <v>0.11503929257858515</v>
      </c>
      <c r="J16" s="2"/>
      <c r="K16" s="2"/>
      <c r="L16" s="2"/>
      <c r="M16" s="6"/>
      <c r="N16" s="6"/>
      <c r="O16" s="6"/>
      <c r="P16" s="6"/>
      <c r="Q16" s="6"/>
      <c r="R16" s="6"/>
      <c r="S16" s="6"/>
    </row>
    <row r="17" spans="1:19" x14ac:dyDescent="0.35">
      <c r="A17" s="2">
        <v>8</v>
      </c>
      <c r="B17" s="2" t="s">
        <v>22</v>
      </c>
      <c r="C17" s="2" t="s">
        <v>21</v>
      </c>
      <c r="D17" s="2" t="s">
        <v>48</v>
      </c>
      <c r="E17" s="17">
        <f>J7</f>
        <v>304.79999999999995</v>
      </c>
      <c r="F17" s="2">
        <v>75</v>
      </c>
      <c r="G17" s="2">
        <v>19</v>
      </c>
      <c r="H17" s="2">
        <v>4</v>
      </c>
      <c r="I17" s="2">
        <f t="shared" si="0"/>
        <v>6.1354289375245404E-2</v>
      </c>
      <c r="J17" s="2"/>
      <c r="K17" s="2"/>
      <c r="L17" s="2"/>
      <c r="M17" s="6"/>
      <c r="N17" s="6"/>
      <c r="O17" s="6"/>
      <c r="P17" s="6"/>
      <c r="Q17" s="6"/>
      <c r="R17" s="6"/>
      <c r="S17" s="6"/>
    </row>
    <row r="18" spans="1:19" ht="15.5" x14ac:dyDescent="0.35">
      <c r="A18" s="3"/>
      <c r="B18" s="3"/>
      <c r="C18" s="3"/>
      <c r="D18" s="3"/>
      <c r="E18" s="3"/>
      <c r="F18" s="3"/>
      <c r="G18" s="3"/>
      <c r="H18" s="3"/>
      <c r="I18" s="4">
        <f>SUM(I10:I17)</f>
        <v>3.1631077206635299</v>
      </c>
      <c r="J18" s="4">
        <f>J10+I18</f>
        <v>3.479418492729883</v>
      </c>
      <c r="K18" s="4">
        <f>J18*K10</f>
        <v>3218.4621057751419</v>
      </c>
      <c r="L18" s="4">
        <f>J18*L10</f>
        <v>661.08951361867776</v>
      </c>
      <c r="M18" s="4">
        <f>J18*M10</f>
        <v>69.588369854597659</v>
      </c>
      <c r="N18" s="4">
        <f>J18*N10</f>
        <v>173.97092463649415</v>
      </c>
      <c r="O18" s="4">
        <f>J18*O10</f>
        <v>173.97092463649415</v>
      </c>
      <c r="P18" s="4">
        <f>J18*P10</f>
        <v>104.38255478189649</v>
      </c>
      <c r="Q18" s="4">
        <f>SUM(K18:P18)</f>
        <v>4401.4643933033021</v>
      </c>
      <c r="R18" s="4">
        <f>Q18*R10</f>
        <v>880.29287866066045</v>
      </c>
      <c r="S18" s="5">
        <f>Q18+R18</f>
        <v>5281.7572719639629</v>
      </c>
    </row>
    <row r="26" spans="1:19" ht="15.5" x14ac:dyDescent="0.35">
      <c r="H26" s="10">
        <v>25.4</v>
      </c>
      <c r="I26" s="16">
        <v>35</v>
      </c>
      <c r="J26" s="16">
        <v>30</v>
      </c>
      <c r="K26" s="16">
        <v>15</v>
      </c>
    </row>
    <row r="27" spans="1:19" x14ac:dyDescent="0.35">
      <c r="I27" s="14">
        <f>H26*I26</f>
        <v>889</v>
      </c>
      <c r="J27" s="14">
        <f>H26*J26</f>
        <v>762</v>
      </c>
      <c r="K27" s="14">
        <f>H26*K26</f>
        <v>381</v>
      </c>
    </row>
    <row r="28" spans="1:19" ht="18.5" x14ac:dyDescent="0.45">
      <c r="A28" s="1">
        <v>2</v>
      </c>
      <c r="B28" s="1"/>
      <c r="C28" s="1"/>
      <c r="D28" s="1"/>
      <c r="E28" s="1"/>
      <c r="F28" s="1"/>
      <c r="G28" s="1"/>
      <c r="H28" s="18" t="s">
        <v>54</v>
      </c>
      <c r="I28" s="19"/>
      <c r="J28" s="19"/>
      <c r="K28" s="19"/>
      <c r="L28" s="19"/>
      <c r="M28" s="20"/>
      <c r="N28" s="1"/>
      <c r="O28" s="1"/>
      <c r="P28" s="1"/>
      <c r="Q28" s="1"/>
      <c r="R28" s="1"/>
      <c r="S28" s="1"/>
    </row>
    <row r="29" spans="1:19" ht="15.5" x14ac:dyDescent="0.35">
      <c r="A29" s="4" t="s">
        <v>7</v>
      </c>
      <c r="B29" s="4" t="s">
        <v>8</v>
      </c>
      <c r="C29" s="4" t="s">
        <v>9</v>
      </c>
      <c r="D29" s="4" t="s">
        <v>24</v>
      </c>
      <c r="E29" s="4" t="s">
        <v>10</v>
      </c>
      <c r="F29" s="4" t="s">
        <v>25</v>
      </c>
      <c r="G29" s="4" t="s">
        <v>26</v>
      </c>
      <c r="H29" s="4" t="s">
        <v>1</v>
      </c>
      <c r="I29" s="4" t="s">
        <v>11</v>
      </c>
      <c r="J29" s="4" t="s">
        <v>29</v>
      </c>
      <c r="K29" s="4" t="s">
        <v>12</v>
      </c>
      <c r="L29" s="4" t="s">
        <v>13</v>
      </c>
      <c r="M29" s="4" t="s">
        <v>14</v>
      </c>
      <c r="N29" s="4" t="s">
        <v>6</v>
      </c>
      <c r="O29" s="4" t="s">
        <v>15</v>
      </c>
      <c r="P29" s="4" t="s">
        <v>16</v>
      </c>
      <c r="Q29" s="4" t="s">
        <v>0</v>
      </c>
      <c r="R29" s="4" t="s">
        <v>17</v>
      </c>
      <c r="S29" s="4" t="s">
        <v>18</v>
      </c>
    </row>
    <row r="30" spans="1:19" x14ac:dyDescent="0.35">
      <c r="A30" s="2">
        <v>1</v>
      </c>
      <c r="B30" s="2" t="s">
        <v>22</v>
      </c>
      <c r="C30" s="2" t="s">
        <v>21</v>
      </c>
      <c r="D30" s="2" t="s">
        <v>2</v>
      </c>
      <c r="E30" s="17">
        <f>I27+100</f>
        <v>989</v>
      </c>
      <c r="F30" s="17">
        <f>J27+40</f>
        <v>802</v>
      </c>
      <c r="G30" s="2">
        <v>16</v>
      </c>
      <c r="H30" s="2">
        <v>2</v>
      </c>
      <c r="I30" s="2">
        <f t="shared" ref="I30:I37" si="1">E30*F30*G30*H30/304.8/304.8/304.8</f>
        <v>0.89634613506614003</v>
      </c>
      <c r="J30" s="2">
        <f>I38*10%</f>
        <v>0.29821201215200621</v>
      </c>
      <c r="K30" s="2">
        <v>925</v>
      </c>
      <c r="L30" s="2">
        <v>190</v>
      </c>
      <c r="M30" s="6">
        <v>20</v>
      </c>
      <c r="N30" s="6">
        <v>50</v>
      </c>
      <c r="O30" s="6">
        <v>50</v>
      </c>
      <c r="P30" s="6">
        <v>30</v>
      </c>
      <c r="Q30" s="6"/>
      <c r="R30" s="7">
        <v>0.2</v>
      </c>
      <c r="S30" s="6"/>
    </row>
    <row r="31" spans="1:19" x14ac:dyDescent="0.35">
      <c r="A31" s="2">
        <v>2</v>
      </c>
      <c r="B31" s="2" t="s">
        <v>22</v>
      </c>
      <c r="C31" s="2" t="s">
        <v>21</v>
      </c>
      <c r="D31" s="2" t="s">
        <v>3</v>
      </c>
      <c r="E31" s="17">
        <f>I27+100</f>
        <v>989</v>
      </c>
      <c r="F31" s="17">
        <f>K27</f>
        <v>381</v>
      </c>
      <c r="G31" s="2">
        <v>16</v>
      </c>
      <c r="H31" s="2">
        <v>2</v>
      </c>
      <c r="I31" s="2">
        <f t="shared" si="1"/>
        <v>0.42582029608503658</v>
      </c>
      <c r="J31" s="2"/>
      <c r="K31" s="2"/>
      <c r="L31" s="2"/>
      <c r="M31" s="6"/>
      <c r="N31" s="6"/>
      <c r="O31" s="6"/>
      <c r="P31" s="6"/>
      <c r="Q31" s="6"/>
      <c r="R31" s="6"/>
      <c r="S31" s="6"/>
    </row>
    <row r="32" spans="1:19" x14ac:dyDescent="0.35">
      <c r="A32" s="2">
        <v>3</v>
      </c>
      <c r="B32" s="2" t="s">
        <v>22</v>
      </c>
      <c r="C32" s="2" t="s">
        <v>21</v>
      </c>
      <c r="D32" s="2" t="s">
        <v>4</v>
      </c>
      <c r="E32" s="17">
        <f>J27</f>
        <v>762</v>
      </c>
      <c r="F32" s="17">
        <f>K27</f>
        <v>381</v>
      </c>
      <c r="G32" s="2">
        <v>16</v>
      </c>
      <c r="H32" s="2">
        <v>2</v>
      </c>
      <c r="I32" s="2">
        <f t="shared" si="1"/>
        <v>0.32808398950131235</v>
      </c>
      <c r="J32" s="2"/>
      <c r="K32" s="2"/>
      <c r="L32" s="2"/>
      <c r="M32" s="6"/>
      <c r="N32" s="6"/>
      <c r="O32" s="6"/>
      <c r="P32" s="6"/>
      <c r="Q32" s="6"/>
      <c r="R32" s="6"/>
      <c r="S32" s="6"/>
    </row>
    <row r="33" spans="1:19" x14ac:dyDescent="0.35">
      <c r="A33" s="2">
        <v>4</v>
      </c>
      <c r="B33" s="2" t="s">
        <v>22</v>
      </c>
      <c r="C33" s="2" t="s">
        <v>21</v>
      </c>
      <c r="D33" s="2" t="s">
        <v>19</v>
      </c>
      <c r="E33" s="17">
        <f>J27+40</f>
        <v>802</v>
      </c>
      <c r="F33" s="2">
        <v>75</v>
      </c>
      <c r="G33" s="2">
        <v>19</v>
      </c>
      <c r="H33" s="2">
        <v>4</v>
      </c>
      <c r="I33" s="2" t="s">
        <v>56</v>
      </c>
      <c r="J33" s="2"/>
      <c r="K33" s="2"/>
      <c r="L33" s="2"/>
      <c r="M33" s="6"/>
      <c r="N33" s="6"/>
      <c r="O33" s="6"/>
      <c r="P33" s="6"/>
      <c r="Q33" s="6"/>
      <c r="R33" s="6"/>
      <c r="S33" s="6"/>
    </row>
    <row r="34" spans="1:19" x14ac:dyDescent="0.35">
      <c r="A34" s="2">
        <v>5</v>
      </c>
      <c r="B34" s="2" t="s">
        <v>22</v>
      </c>
      <c r="C34" s="2" t="s">
        <v>21</v>
      </c>
      <c r="D34" s="2" t="s">
        <v>20</v>
      </c>
      <c r="E34" s="17">
        <f>J27+40</f>
        <v>802</v>
      </c>
      <c r="F34" s="2">
        <v>100</v>
      </c>
      <c r="G34" s="2">
        <v>75</v>
      </c>
      <c r="H34" s="2">
        <v>4</v>
      </c>
      <c r="I34" s="2">
        <f t="shared" si="1"/>
        <v>0.84967088131901547</v>
      </c>
      <c r="J34" s="2"/>
      <c r="K34" s="2"/>
      <c r="L34" s="2"/>
      <c r="M34" s="6"/>
      <c r="N34" s="6"/>
      <c r="O34" s="6"/>
      <c r="P34" s="6"/>
      <c r="Q34" s="6"/>
      <c r="R34" s="6"/>
      <c r="S34" s="6"/>
    </row>
    <row r="35" spans="1:19" x14ac:dyDescent="0.35">
      <c r="A35" s="2">
        <v>6</v>
      </c>
      <c r="B35" s="2" t="s">
        <v>22</v>
      </c>
      <c r="C35" s="2" t="s">
        <v>21</v>
      </c>
      <c r="D35" s="2" t="s">
        <v>5</v>
      </c>
      <c r="E35" s="17">
        <f>K27+150</f>
        <v>531</v>
      </c>
      <c r="F35" s="2">
        <v>75</v>
      </c>
      <c r="G35" s="2">
        <v>19</v>
      </c>
      <c r="H35" s="2">
        <v>8</v>
      </c>
      <c r="I35" s="2">
        <f t="shared" si="1"/>
        <v>0.21377380353185901</v>
      </c>
      <c r="J35" s="2"/>
      <c r="K35" s="2"/>
      <c r="L35" s="2"/>
      <c r="M35" s="6"/>
      <c r="N35" s="6"/>
      <c r="O35" s="6"/>
      <c r="P35" s="6"/>
      <c r="Q35" s="6"/>
      <c r="R35" s="6"/>
      <c r="S35" s="6"/>
    </row>
    <row r="36" spans="1:19" x14ac:dyDescent="0.35">
      <c r="A36" s="2">
        <v>7</v>
      </c>
      <c r="B36" s="2" t="s">
        <v>22</v>
      </c>
      <c r="C36" s="2" t="s">
        <v>21</v>
      </c>
      <c r="D36" s="2" t="s">
        <v>47</v>
      </c>
      <c r="E36" s="17">
        <f>K27</f>
        <v>381</v>
      </c>
      <c r="F36" s="2">
        <v>75</v>
      </c>
      <c r="G36" s="2">
        <v>19</v>
      </c>
      <c r="H36" s="2">
        <v>6</v>
      </c>
      <c r="I36" s="2">
        <f t="shared" si="1"/>
        <v>0.11503929257858515</v>
      </c>
      <c r="J36" s="2"/>
      <c r="K36" s="2"/>
      <c r="L36" s="2"/>
      <c r="M36" s="6"/>
      <c r="N36" s="6"/>
      <c r="O36" s="6"/>
      <c r="P36" s="6"/>
      <c r="Q36" s="6"/>
      <c r="R36" s="6"/>
      <c r="S36" s="6"/>
    </row>
    <row r="37" spans="1:19" x14ac:dyDescent="0.35">
      <c r="A37" s="2">
        <v>8</v>
      </c>
      <c r="B37" s="2" t="s">
        <v>22</v>
      </c>
      <c r="C37" s="2" t="s">
        <v>21</v>
      </c>
      <c r="D37" s="2" t="s">
        <v>48</v>
      </c>
      <c r="E37" s="17">
        <f>J27</f>
        <v>762</v>
      </c>
      <c r="F37" s="2">
        <v>75</v>
      </c>
      <c r="G37" s="2">
        <v>19</v>
      </c>
      <c r="H37" s="2">
        <v>4</v>
      </c>
      <c r="I37" s="2">
        <f t="shared" si="1"/>
        <v>0.15338572343811355</v>
      </c>
      <c r="J37" s="2"/>
      <c r="K37" s="2"/>
      <c r="L37" s="2"/>
      <c r="M37" s="6"/>
      <c r="N37" s="6"/>
      <c r="O37" s="6"/>
      <c r="P37" s="6"/>
      <c r="Q37" s="6"/>
      <c r="R37" s="6"/>
      <c r="S37" s="6"/>
    </row>
    <row r="38" spans="1:19" ht="15.5" x14ac:dyDescent="0.35">
      <c r="A38" s="3"/>
      <c r="B38" s="3"/>
      <c r="C38" s="3"/>
      <c r="D38" s="3"/>
      <c r="E38" s="3"/>
      <c r="F38" s="3"/>
      <c r="G38" s="3"/>
      <c r="H38" s="3"/>
      <c r="I38" s="4">
        <f>SUM(I30:I37)</f>
        <v>2.9821201215200621</v>
      </c>
      <c r="J38" s="4">
        <f>J30+I38</f>
        <v>3.2803321336720686</v>
      </c>
      <c r="K38" s="4">
        <f>J38*K30</f>
        <v>3034.3072236466633</v>
      </c>
      <c r="L38" s="4">
        <f>J38*L30</f>
        <v>623.26310539769304</v>
      </c>
      <c r="M38" s="4">
        <f>J38*M30</f>
        <v>65.606642673441371</v>
      </c>
      <c r="N38" s="4">
        <f>J38*N30</f>
        <v>164.01660668360341</v>
      </c>
      <c r="O38" s="4">
        <f>J38*O30</f>
        <v>164.01660668360341</v>
      </c>
      <c r="P38" s="4">
        <f>J38*P30</f>
        <v>98.409964010162057</v>
      </c>
      <c r="Q38" s="4">
        <f>SUM(K38:P38)</f>
        <v>4149.6201490951671</v>
      </c>
      <c r="R38" s="4">
        <f>Q38*R30</f>
        <v>829.92402981903342</v>
      </c>
      <c r="S38" s="5">
        <f>Q38+R38</f>
        <v>4979.5441789142005</v>
      </c>
    </row>
  </sheetData>
  <mergeCells count="2">
    <mergeCell ref="H8:M8"/>
    <mergeCell ref="H28:M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SEETHA R</cp:lastModifiedBy>
  <cp:lastPrinted>2026-04-24T08:00:14Z</cp:lastPrinted>
  <dcterms:created xsi:type="dcterms:W3CDTF">2018-11-09T06:31:53Z</dcterms:created>
  <dcterms:modified xsi:type="dcterms:W3CDTF">2026-07-11T08:27:30Z</dcterms:modified>
</cp:coreProperties>
</file>