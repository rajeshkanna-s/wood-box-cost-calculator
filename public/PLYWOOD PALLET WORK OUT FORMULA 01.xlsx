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tha\Downloads\"/>
    </mc:Choice>
  </mc:AlternateContent>
  <xr:revisionPtr revIDLastSave="0" documentId="13_ncr:1_{2271E41D-F54A-4BD8-8081-3A5B1AAE6C8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2" l="1"/>
  <c r="I16" i="4"/>
  <c r="I18" i="4" s="1"/>
  <c r="E14" i="4"/>
  <c r="J14" i="4" s="1"/>
  <c r="E13" i="4"/>
  <c r="J13" i="4" s="1"/>
  <c r="F12" i="4"/>
  <c r="J12" i="4" s="1"/>
  <c r="J18" i="4" s="1"/>
  <c r="E12" i="4"/>
  <c r="J9" i="4"/>
  <c r="I9" i="4"/>
  <c r="H9" i="4"/>
  <c r="I20" i="3"/>
  <c r="I19" i="3"/>
  <c r="I22" i="3" s="1"/>
  <c r="E15" i="3"/>
  <c r="J15" i="3" s="1"/>
  <c r="E14" i="3"/>
  <c r="J14" i="3" s="1"/>
  <c r="E13" i="3"/>
  <c r="J13" i="3" s="1"/>
  <c r="F12" i="3"/>
  <c r="E12" i="3"/>
  <c r="J12" i="3" s="1"/>
  <c r="J9" i="3"/>
  <c r="I9" i="3"/>
  <c r="H9" i="3"/>
  <c r="I43" i="3"/>
  <c r="I42" i="3"/>
  <c r="E38" i="3"/>
  <c r="J38" i="3" s="1"/>
  <c r="E37" i="3"/>
  <c r="J37" i="3" s="1"/>
  <c r="E36" i="3"/>
  <c r="J36" i="3" s="1"/>
  <c r="F35" i="3"/>
  <c r="E35" i="3"/>
  <c r="J32" i="3"/>
  <c r="I32" i="3"/>
  <c r="H32" i="3"/>
  <c r="K14" i="1"/>
  <c r="K13" i="2"/>
  <c r="I15" i="2"/>
  <c r="I17" i="2" s="1"/>
  <c r="E14" i="2"/>
  <c r="J14" i="2" s="1"/>
  <c r="F13" i="2"/>
  <c r="E13" i="2"/>
  <c r="J10" i="2"/>
  <c r="I10" i="2"/>
  <c r="H10" i="2"/>
  <c r="E16" i="1"/>
  <c r="E15" i="1"/>
  <c r="F14" i="1"/>
  <c r="E14" i="1"/>
  <c r="I18" i="1"/>
  <c r="J11" i="1"/>
  <c r="H11" i="1"/>
  <c r="I11" i="1"/>
  <c r="K18" i="4" l="1"/>
  <c r="K12" i="4"/>
  <c r="L12" i="4"/>
  <c r="L18" i="4"/>
  <c r="J22" i="3"/>
  <c r="L12" i="3" s="1"/>
  <c r="L22" i="3" s="1"/>
  <c r="K12" i="3"/>
  <c r="K22" i="3" s="1"/>
  <c r="J35" i="3"/>
  <c r="J45" i="3" s="1"/>
  <c r="I45" i="3"/>
  <c r="K35" i="3"/>
  <c r="K45" i="3" s="1"/>
  <c r="J13" i="2"/>
  <c r="J17" i="2"/>
  <c r="L13" i="2" s="1"/>
  <c r="K17" i="2"/>
  <c r="L17" i="2"/>
  <c r="J16" i="1"/>
  <c r="J14" i="1"/>
  <c r="J15" i="1"/>
  <c r="T18" i="4" l="1"/>
  <c r="S18" i="4"/>
  <c r="R18" i="4"/>
  <c r="Q18" i="4"/>
  <c r="P18" i="4"/>
  <c r="N18" i="4"/>
  <c r="O18" i="4"/>
  <c r="M18" i="4"/>
  <c r="O22" i="3"/>
  <c r="M22" i="3"/>
  <c r="T22" i="3"/>
  <c r="S22" i="3"/>
  <c r="R22" i="3"/>
  <c r="Q22" i="3"/>
  <c r="P22" i="3"/>
  <c r="N22" i="3"/>
  <c r="R45" i="3"/>
  <c r="T45" i="3"/>
  <c r="S45" i="3"/>
  <c r="L35" i="3"/>
  <c r="L45" i="3" s="1"/>
  <c r="Q45" i="3" s="1"/>
  <c r="P45" i="3"/>
  <c r="N45" i="3"/>
  <c r="T17" i="2"/>
  <c r="S17" i="2"/>
  <c r="R17" i="2"/>
  <c r="Q17" i="2"/>
  <c r="N17" i="2"/>
  <c r="O17" i="2"/>
  <c r="M17" i="2"/>
  <c r="J20" i="1"/>
  <c r="L14" i="1" s="1"/>
  <c r="I20" i="1"/>
  <c r="U18" i="4" l="1"/>
  <c r="U22" i="3"/>
  <c r="M45" i="3"/>
  <c r="O45" i="3"/>
  <c r="U17" i="2"/>
  <c r="L20" i="1"/>
  <c r="K20" i="1"/>
  <c r="V18" i="4" l="1"/>
  <c r="W18" i="4" s="1"/>
  <c r="V22" i="3"/>
  <c r="W22" i="3" s="1"/>
  <c r="U45" i="3"/>
  <c r="V45" i="3" s="1"/>
  <c r="W45" i="3" s="1"/>
  <c r="V17" i="2"/>
  <c r="W17" i="2" s="1"/>
  <c r="P20" i="1"/>
  <c r="N20" i="1"/>
  <c r="Q20" i="1"/>
  <c r="M20" i="1"/>
  <c r="S20" i="1"/>
  <c r="R20" i="1"/>
  <c r="O20" i="1"/>
  <c r="T20" i="1"/>
  <c r="U20" i="1" l="1"/>
  <c r="V20" i="1" s="1"/>
  <c r="W20" i="1" l="1"/>
</calcChain>
</file>

<file path=xl/sharedStrings.xml><?xml version="1.0" encoding="utf-8"?>
<sst xmlns="http://schemas.openxmlformats.org/spreadsheetml/2006/main" count="204" uniqueCount="33">
  <si>
    <t>TOTAL</t>
  </si>
  <si>
    <t>QTY</t>
  </si>
  <si>
    <t>TOP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</si>
  <si>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</si>
  <si>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</si>
  <si>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</si>
  <si>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</si>
  <si>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</si>
  <si>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</si>
  <si>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</si>
  <si>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</si>
  <si>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PROFIT</t>
  </si>
  <si>
    <t>FINAL TOTAL</t>
  </si>
  <si>
    <t>22.04.2026</t>
  </si>
  <si>
    <t>SIZE</t>
  </si>
  <si>
    <t>WITH</t>
  </si>
  <si>
    <t>HIGHT</t>
  </si>
  <si>
    <t>MM</t>
  </si>
  <si>
    <t>SQ</t>
  </si>
  <si>
    <t>PLY</t>
  </si>
  <si>
    <t>SQ RATE</t>
  </si>
  <si>
    <t>VAST 10%</t>
  </si>
  <si>
    <t>SQ LAB</t>
  </si>
  <si>
    <t>PLAINIG</t>
  </si>
  <si>
    <t>LODING</t>
  </si>
  <si>
    <t>INCH</t>
  </si>
  <si>
    <t>BLOOK</t>
  </si>
  <si>
    <t>BL</t>
  </si>
  <si>
    <t>CHIP BLOOK</t>
  </si>
  <si>
    <t>LEG</t>
  </si>
  <si>
    <t>BACK</t>
  </si>
  <si>
    <t>EB</t>
  </si>
  <si>
    <t>TRANSFORT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</si>
</sst>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3" fillId="3" borderId="2" xfId="0" applyFont="1" applyFill="1" applyBorder="1"/>
    <xf numFmtId="9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W20"/>
  <sheetViews>
    <sheetView zoomScale="85" zoomScaleNormal="85" workbookViewId="0">
      <selection activeCell="N24" sqref="N24"/>
    </sheetView>
  </sheetViews>
  <sheetFormatPr defaultRowHeight="14.5" x14ac:dyDescent="0.35"/>
  <cols>
    <col min="1" max="1" width="7.1796875" customWidth="1"/>
    <col min="2" max="2" width="10.54296875" customWidth="1"/>
    <col min="3" max="3" width="11.7265625" customWidth="1"/>
    <col min="4" max="4" width="8" customWidth="1"/>
    <col min="5" max="5" width="8.1796875" customWidth="1"/>
    <col min="6" max="6" width="9" customWidth="1"/>
    <col min="7" max="7" width="9.26953125" customWidth="1"/>
    <col min="8" max="8" width="8.7265625" customWidth="1"/>
    <col min="9" max="9" width="12.1796875" customWidth="1"/>
    <col min="10" max="10" width="11.7265625" customWidth="1"/>
    <col min="11" max="13" width="10.453125" customWidth="1"/>
    <col min="14" max="15" width="10.7265625" customWidth="1"/>
    <col min="16" max="16" width="12.7265625" customWidth="1"/>
    <col min="17" max="17" width="11.1796875" customWidth="1"/>
    <col min="18" max="18" width="12.1796875" customWidth="1"/>
    <col min="19" max="19" width="15.54296875" customWidth="1"/>
    <col min="20" max="20" width="13.54296875" customWidth="1"/>
    <col min="21" max="21" width="16.81640625" customWidth="1"/>
    <col min="22" max="22" width="11.453125" customWidth="1"/>
    <col min="23" max="23" width="12.7265625" customWidth="1"/>
  </cols>
  <sheetData>
    <row r="11" spans="1:23" ht="21" x14ac:dyDescent="0.5">
      <c r="H11" s="15">
        <f>H12/G12</f>
        <v>47.244094488188978</v>
      </c>
      <c r="I11" s="15">
        <f>I12/G12</f>
        <v>43.30708661417323</v>
      </c>
      <c r="J11" s="15">
        <f>J12/G12</f>
        <v>7.6771653543307092</v>
      </c>
      <c r="K11" s="11" t="s">
        <v>25</v>
      </c>
      <c r="L11" s="10"/>
      <c r="M11" s="10"/>
      <c r="N11" s="10"/>
      <c r="O11" s="10"/>
    </row>
    <row r="12" spans="1:23" ht="18.5" x14ac:dyDescent="0.45">
      <c r="A12" s="1">
        <v>1</v>
      </c>
      <c r="B12" s="1"/>
      <c r="C12" s="1"/>
      <c r="D12" s="1"/>
      <c r="E12" s="1"/>
      <c r="F12" s="1"/>
      <c r="G12" s="1">
        <v>25.4</v>
      </c>
      <c r="H12" s="9">
        <v>1200</v>
      </c>
      <c r="I12" s="9">
        <v>1100</v>
      </c>
      <c r="J12" s="9">
        <v>195</v>
      </c>
      <c r="K12" s="9" t="s">
        <v>17</v>
      </c>
      <c r="L12" s="9">
        <v>9</v>
      </c>
      <c r="M12" s="9" t="s">
        <v>26</v>
      </c>
      <c r="N12" s="9" t="s">
        <v>17</v>
      </c>
      <c r="O12" s="12"/>
      <c r="P12" s="7"/>
      <c r="Q12" s="8"/>
      <c r="R12" s="1"/>
      <c r="S12" s="1"/>
      <c r="T12" s="1"/>
      <c r="U12" s="1"/>
      <c r="V12" s="1"/>
      <c r="W12" s="1"/>
    </row>
    <row r="13" spans="1:23" ht="15.5" x14ac:dyDescent="0.35">
      <c r="A13" s="4" t="s">
        <v>3</v>
      </c>
      <c r="B13" s="4" t="s">
        <v>4</v>
      </c>
      <c r="C13" s="4" t="s">
        <v>5</v>
      </c>
      <c r="D13" s="4" t="s">
        <v>14</v>
      </c>
      <c r="E13" s="4" t="s">
        <v>6</v>
      </c>
      <c r="F13" s="4" t="s">
        <v>15</v>
      </c>
      <c r="G13" s="4" t="s">
        <v>16</v>
      </c>
      <c r="H13" s="4" t="s">
        <v>1</v>
      </c>
      <c r="I13" s="4" t="s">
        <v>7</v>
      </c>
      <c r="J13" s="4" t="s">
        <v>18</v>
      </c>
      <c r="K13" s="4" t="s">
        <v>21</v>
      </c>
      <c r="L13" s="4" t="s">
        <v>21</v>
      </c>
      <c r="M13" s="4" t="s">
        <v>20</v>
      </c>
      <c r="N13" s="4" t="s">
        <v>8</v>
      </c>
      <c r="O13" s="4" t="s">
        <v>22</v>
      </c>
      <c r="P13" s="4" t="s">
        <v>9</v>
      </c>
      <c r="Q13" s="4" t="s">
        <v>10</v>
      </c>
      <c r="R13" s="4" t="s">
        <v>23</v>
      </c>
      <c r="S13" s="4" t="s">
        <v>31</v>
      </c>
      <c r="T13" s="4" t="s">
        <v>24</v>
      </c>
      <c r="U13" s="4" t="s">
        <v>0</v>
      </c>
      <c r="V13" s="4" t="s">
        <v>11</v>
      </c>
      <c r="W13" s="4" t="s">
        <v>12</v>
      </c>
    </row>
    <row r="14" spans="1:23" ht="15.5" x14ac:dyDescent="0.35">
      <c r="A14" s="2">
        <v>1</v>
      </c>
      <c r="B14" s="2" t="s">
        <v>13</v>
      </c>
      <c r="C14" s="2" t="s">
        <v>19</v>
      </c>
      <c r="D14" s="2" t="s">
        <v>2</v>
      </c>
      <c r="E14" s="2">
        <f>H12</f>
        <v>1200</v>
      </c>
      <c r="F14" s="2">
        <f>I12</f>
        <v>1100</v>
      </c>
      <c r="G14" s="2"/>
      <c r="H14" s="2">
        <v>1</v>
      </c>
      <c r="I14" s="2"/>
      <c r="J14" s="14">
        <f>E14*F14*H14/304.8/304.8</f>
        <v>14.208361750056831</v>
      </c>
      <c r="K14" s="4">
        <f>I20*5%</f>
        <v>1.1584976417984333E-2</v>
      </c>
      <c r="L14" s="4">
        <f>J20*7%</f>
        <v>1.46249250831835</v>
      </c>
      <c r="M14" s="4">
        <v>38</v>
      </c>
      <c r="N14" s="4">
        <v>590</v>
      </c>
      <c r="O14" s="4">
        <v>5</v>
      </c>
      <c r="P14" s="4">
        <v>190</v>
      </c>
      <c r="Q14" s="4">
        <v>50</v>
      </c>
      <c r="R14" s="4">
        <v>5</v>
      </c>
      <c r="S14" s="4">
        <v>3</v>
      </c>
      <c r="T14" s="4">
        <v>3</v>
      </c>
      <c r="U14" s="4"/>
      <c r="V14" s="13">
        <v>0.2</v>
      </c>
      <c r="W14" s="4"/>
    </row>
    <row r="15" spans="1:23" ht="15.5" x14ac:dyDescent="0.35">
      <c r="A15" s="2">
        <v>2</v>
      </c>
      <c r="B15" s="2" t="s">
        <v>13</v>
      </c>
      <c r="C15" s="2" t="s">
        <v>19</v>
      </c>
      <c r="D15" s="2" t="s">
        <v>29</v>
      </c>
      <c r="E15" s="2">
        <f>H12</f>
        <v>1200</v>
      </c>
      <c r="F15" s="2">
        <v>90</v>
      </c>
      <c r="G15" s="2"/>
      <c r="H15" s="2">
        <v>3</v>
      </c>
      <c r="I15" s="2"/>
      <c r="J15" s="14">
        <f>E15*F15*H15/304.8/304.8</f>
        <v>3.4875069750139498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.5" x14ac:dyDescent="0.35">
      <c r="A16" s="2">
        <v>3</v>
      </c>
      <c r="B16" s="2" t="s">
        <v>13</v>
      </c>
      <c r="C16" s="2" t="s">
        <v>19</v>
      </c>
      <c r="D16" s="2" t="s">
        <v>30</v>
      </c>
      <c r="E16" s="2">
        <f>I12</f>
        <v>1100</v>
      </c>
      <c r="F16" s="2">
        <v>90</v>
      </c>
      <c r="G16" s="2"/>
      <c r="H16" s="2">
        <v>3</v>
      </c>
      <c r="I16" s="2"/>
      <c r="J16" s="14">
        <f>E16*F16*H16/304.8/304.8</f>
        <v>3.1968813937627871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15.5" x14ac:dyDescent="0.35">
      <c r="A18" s="2">
        <v>6</v>
      </c>
      <c r="B18" s="2" t="s">
        <v>13</v>
      </c>
      <c r="C18" s="2" t="s">
        <v>28</v>
      </c>
      <c r="D18" s="2" t="s">
        <v>27</v>
      </c>
      <c r="E18" s="2">
        <v>90</v>
      </c>
      <c r="F18" s="2">
        <v>90</v>
      </c>
      <c r="G18" s="2">
        <v>90</v>
      </c>
      <c r="H18" s="2">
        <v>9</v>
      </c>
      <c r="I18" s="2">
        <f t="shared" ref="I18" si="0">E18*F18*G18*H18/304.8/304.8/304.8</f>
        <v>0.23169952835968666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6"/>
      <c r="R19" s="6"/>
      <c r="S19" s="6"/>
      <c r="T19" s="6"/>
      <c r="U19" s="6"/>
      <c r="V19" s="6"/>
      <c r="W19" s="6"/>
    </row>
    <row r="20" spans="1:23" ht="15.5" x14ac:dyDescent="0.35">
      <c r="A20" s="3"/>
      <c r="B20" s="3"/>
      <c r="C20" s="3"/>
      <c r="D20" s="3"/>
      <c r="E20" s="3"/>
      <c r="F20" s="3"/>
      <c r="G20" s="3"/>
      <c r="H20" s="3"/>
      <c r="I20" s="4">
        <f>SUM(I17:I19)</f>
        <v>0.23169952835968666</v>
      </c>
      <c r="J20" s="4">
        <f>SUM(J14:J19)</f>
        <v>20.892750118833568</v>
      </c>
      <c r="K20" s="4">
        <f>I20+K14</f>
        <v>0.243284504777671</v>
      </c>
      <c r="L20" s="4">
        <f>J20+L14</f>
        <v>22.355242627151917</v>
      </c>
      <c r="M20" s="4">
        <f>L20*M14</f>
        <v>849.49921983177285</v>
      </c>
      <c r="N20" s="4">
        <f>K20*N14</f>
        <v>143.5378578188259</v>
      </c>
      <c r="O20" s="4">
        <f>L20*O14</f>
        <v>111.77621313575958</v>
      </c>
      <c r="P20" s="4">
        <f>K20*P14</f>
        <v>46.224055907757489</v>
      </c>
      <c r="Q20" s="4">
        <f>K20*Q14+L20</f>
        <v>34.51946786603547</v>
      </c>
      <c r="R20" s="4">
        <f>K20*R14+L20</f>
        <v>23.571665151040271</v>
      </c>
      <c r="S20" s="4">
        <f>K20*S14+L20</f>
        <v>23.085096141484929</v>
      </c>
      <c r="T20" s="4">
        <f>K20*T14+L20</f>
        <v>23.085096141484929</v>
      </c>
      <c r="U20" s="4">
        <f>SUM(M20:T20)</f>
        <v>1255.2986719941612</v>
      </c>
      <c r="V20" s="4">
        <f>U20*V14</f>
        <v>251.05973439883223</v>
      </c>
      <c r="W20" s="5">
        <f>U20+V20</f>
        <v>1506.3584063929934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W17"/>
  <sheetViews>
    <sheetView workbookViewId="0">
      <selection activeCell="V14" sqref="V14"/>
    </sheetView>
  </sheetViews>
  <sheetFormatPr defaultRowHeight="14.5" x14ac:dyDescent="0.35"/>
  <cols>
    <col min="2" max="2" width="10.7265625" customWidth="1"/>
    <col min="3" max="3" width="12.26953125" customWidth="1"/>
    <col min="11" max="12" width="15" customWidth="1"/>
    <col min="13" max="13" width="10.54296875" customWidth="1"/>
    <col min="14" max="14" width="11" customWidth="1"/>
    <col min="15" max="15" width="11.453125" customWidth="1"/>
    <col min="16" max="16" width="10.453125" customWidth="1"/>
    <col min="17" max="17" width="9.81640625" customWidth="1"/>
    <col min="23" max="23" width="12.81640625" customWidth="1"/>
  </cols>
  <sheetData>
    <row r="10" spans="1:23" ht="21" x14ac:dyDescent="0.5">
      <c r="H10" s="15">
        <f>H11/G11</f>
        <v>44.881889763779533</v>
      </c>
      <c r="I10" s="15">
        <f>I11/G11</f>
        <v>46.45669291338583</v>
      </c>
      <c r="J10" s="15">
        <f>J11/G11</f>
        <v>7.6771653543307092</v>
      </c>
      <c r="K10" s="11" t="s">
        <v>25</v>
      </c>
      <c r="L10" s="10"/>
      <c r="M10" s="10"/>
      <c r="N10" s="10"/>
      <c r="O10" s="10"/>
    </row>
    <row r="11" spans="1:23" ht="18.5" x14ac:dyDescent="0.45">
      <c r="A11" s="1">
        <v>1</v>
      </c>
      <c r="B11" s="1"/>
      <c r="C11" s="1"/>
      <c r="D11" s="1"/>
      <c r="E11" s="1"/>
      <c r="F11" s="1"/>
      <c r="G11" s="1">
        <v>25.4</v>
      </c>
      <c r="H11" s="9">
        <v>1140</v>
      </c>
      <c r="I11" s="9">
        <v>1180</v>
      </c>
      <c r="J11" s="9">
        <v>195</v>
      </c>
      <c r="K11" s="9" t="s">
        <v>17</v>
      </c>
      <c r="L11" s="9">
        <v>9</v>
      </c>
      <c r="M11" s="9" t="s">
        <v>26</v>
      </c>
      <c r="N11" s="9" t="s">
        <v>17</v>
      </c>
      <c r="O11" s="12"/>
      <c r="P11" s="7"/>
      <c r="Q11" s="8"/>
      <c r="R11" s="1"/>
      <c r="S11" s="1"/>
      <c r="T11" s="1"/>
      <c r="U11" s="1"/>
      <c r="V11" s="1"/>
      <c r="W11" s="1"/>
    </row>
    <row r="12" spans="1:23" ht="15.5" x14ac:dyDescent="0.35">
      <c r="A12" s="4" t="s">
        <v>3</v>
      </c>
      <c r="B12" s="4" t="s">
        <v>4</v>
      </c>
      <c r="C12" s="4" t="s">
        <v>5</v>
      </c>
      <c r="D12" s="4" t="s">
        <v>14</v>
      </c>
      <c r="E12" s="4" t="s">
        <v>6</v>
      </c>
      <c r="F12" s="4" t="s">
        <v>15</v>
      </c>
      <c r="G12" s="4" t="s">
        <v>16</v>
      </c>
      <c r="H12" s="4" t="s">
        <v>1</v>
      </c>
      <c r="I12" s="4" t="s">
        <v>7</v>
      </c>
      <c r="J12" s="4" t="s">
        <v>18</v>
      </c>
      <c r="K12" s="4" t="s">
        <v>21</v>
      </c>
      <c r="L12" s="4" t="s">
        <v>21</v>
      </c>
      <c r="M12" s="4" t="s">
        <v>20</v>
      </c>
      <c r="N12" s="4" t="s">
        <v>8</v>
      </c>
      <c r="O12" s="4" t="s">
        <v>22</v>
      </c>
      <c r="P12" s="4" t="s">
        <v>9</v>
      </c>
      <c r="Q12" s="4" t="s">
        <v>10</v>
      </c>
      <c r="R12" s="4" t="s">
        <v>23</v>
      </c>
      <c r="S12" s="4" t="s">
        <v>31</v>
      </c>
      <c r="T12" s="4" t="s">
        <v>24</v>
      </c>
      <c r="U12" s="4" t="s">
        <v>0</v>
      </c>
      <c r="V12" s="4" t="s">
        <v>11</v>
      </c>
      <c r="W12" s="4" t="s">
        <v>12</v>
      </c>
    </row>
    <row r="13" spans="1:23" ht="15.5" x14ac:dyDescent="0.35">
      <c r="A13" s="2">
        <v>1</v>
      </c>
      <c r="B13" s="2" t="s">
        <v>13</v>
      </c>
      <c r="C13" s="2" t="s">
        <v>19</v>
      </c>
      <c r="D13" s="2" t="s">
        <v>2</v>
      </c>
      <c r="E13" s="2">
        <f>H11</f>
        <v>1140</v>
      </c>
      <c r="F13" s="2">
        <f>I11</f>
        <v>1180</v>
      </c>
      <c r="G13" s="2"/>
      <c r="H13" s="2">
        <v>1</v>
      </c>
      <c r="I13" s="2"/>
      <c r="J13" s="14">
        <f>E13*F13*H13/304.8/304.8</f>
        <v>14.479612292557917</v>
      </c>
      <c r="K13" s="4">
        <f>I17*5%</f>
        <v>1.1584976417984333E-2</v>
      </c>
      <c r="L13" s="4">
        <f>J17*7%</f>
        <v>1.245492074317482</v>
      </c>
      <c r="M13" s="4">
        <v>38</v>
      </c>
      <c r="N13" s="4">
        <v>600</v>
      </c>
      <c r="O13" s="4">
        <v>5</v>
      </c>
      <c r="P13" s="4">
        <v>200</v>
      </c>
      <c r="Q13" s="4">
        <v>50</v>
      </c>
      <c r="R13" s="4">
        <v>10</v>
      </c>
      <c r="S13" s="4">
        <v>5</v>
      </c>
      <c r="T13" s="4">
        <v>4</v>
      </c>
      <c r="U13" s="4"/>
      <c r="V13" s="13">
        <v>0.2</v>
      </c>
      <c r="W13" s="4"/>
    </row>
    <row r="14" spans="1:23" ht="15.5" x14ac:dyDescent="0.35">
      <c r="A14" s="2">
        <v>2</v>
      </c>
      <c r="B14" s="2" t="s">
        <v>13</v>
      </c>
      <c r="C14" s="2" t="s">
        <v>19</v>
      </c>
      <c r="D14" s="2" t="s">
        <v>29</v>
      </c>
      <c r="E14" s="2">
        <f>H11</f>
        <v>1140</v>
      </c>
      <c r="F14" s="2">
        <v>90</v>
      </c>
      <c r="G14" s="2"/>
      <c r="H14" s="2">
        <v>3</v>
      </c>
      <c r="I14" s="2"/>
      <c r="J14" s="14">
        <f>E14*F14*H14/304.8/304.8</f>
        <v>3.3131316262632522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5.5" x14ac:dyDescent="0.35">
      <c r="A15" s="2">
        <v>6</v>
      </c>
      <c r="B15" s="2" t="s">
        <v>13</v>
      </c>
      <c r="C15" s="2" t="s">
        <v>28</v>
      </c>
      <c r="D15" s="2" t="s">
        <v>27</v>
      </c>
      <c r="E15" s="2">
        <v>90</v>
      </c>
      <c r="F15" s="2">
        <v>90</v>
      </c>
      <c r="G15" s="2">
        <v>90</v>
      </c>
      <c r="H15" s="2">
        <v>9</v>
      </c>
      <c r="I15" s="2">
        <f t="shared" ref="I15" si="0">E15*F15*G15*H15/304.8/304.8/304.8</f>
        <v>0.23169952835968666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6"/>
      <c r="R16" s="6"/>
      <c r="S16" s="6"/>
      <c r="T16" s="6"/>
      <c r="U16" s="6"/>
      <c r="V16" s="6"/>
      <c r="W16" s="6"/>
    </row>
    <row r="17" spans="1:23" ht="15.5" x14ac:dyDescent="0.35">
      <c r="A17" s="3"/>
      <c r="B17" s="3"/>
      <c r="C17" s="3"/>
      <c r="D17" s="3"/>
      <c r="E17" s="3"/>
      <c r="F17" s="3"/>
      <c r="G17" s="3"/>
      <c r="H17" s="3"/>
      <c r="I17" s="4">
        <f>SUM(I15:I16)</f>
        <v>0.23169952835968666</v>
      </c>
      <c r="J17" s="4">
        <f>SUM(J13:J16)</f>
        <v>17.79274391882117</v>
      </c>
      <c r="K17" s="4">
        <f>I17+K13</f>
        <v>0.243284504777671</v>
      </c>
      <c r="L17" s="4">
        <f>J17+L13</f>
        <v>19.038235993138652</v>
      </c>
      <c r="M17" s="4">
        <f>L17*M13</f>
        <v>723.45296773926884</v>
      </c>
      <c r="N17" s="4">
        <f>K17*N13</f>
        <v>145.97070286660261</v>
      </c>
      <c r="O17" s="4">
        <f>L17*O13</f>
        <v>95.191179965693266</v>
      </c>
      <c r="P17" s="4">
        <f>I17*P13+J17</f>
        <v>64.132649590758504</v>
      </c>
      <c r="Q17" s="4">
        <f>K17*Q13+L17</f>
        <v>31.202461232022202</v>
      </c>
      <c r="R17" s="4">
        <f>K17*R13+L17</f>
        <v>21.471081040915362</v>
      </c>
      <c r="S17" s="4">
        <f>K17*S13+L17</f>
        <v>20.254658517027007</v>
      </c>
      <c r="T17" s="4">
        <f>K17*T13+L17</f>
        <v>20.011374012249338</v>
      </c>
      <c r="U17" s="4">
        <f>SUM(M17:T17)</f>
        <v>1121.687074964537</v>
      </c>
      <c r="V17" s="4">
        <f>U17*V13</f>
        <v>224.33741499290741</v>
      </c>
      <c r="W17" s="5">
        <f>U17+V17</f>
        <v>1346.0244899574445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W45"/>
  <sheetViews>
    <sheetView topLeftCell="A28" workbookViewId="0">
      <selection activeCell="V36" sqref="V36"/>
    </sheetView>
  </sheetViews>
  <sheetFormatPr defaultRowHeight="14.5" x14ac:dyDescent="0.35"/>
  <cols>
    <col min="1" max="1" width="10.453125" customWidth="1"/>
    <col min="2" max="2" width="11.26953125" customWidth="1"/>
    <col min="3" max="3" width="11.81640625" customWidth="1"/>
    <col min="4" max="4" width="11.1796875" customWidth="1"/>
    <col min="5" max="5" width="11.26953125" customWidth="1"/>
    <col min="11" max="11" width="10.26953125" customWidth="1"/>
    <col min="12" max="12" width="11.7265625" customWidth="1"/>
    <col min="14" max="14" width="11.26953125" customWidth="1"/>
    <col min="20" max="20" width="11.26953125" customWidth="1"/>
    <col min="22" max="22" width="10.26953125" customWidth="1"/>
    <col min="23" max="23" width="12" customWidth="1"/>
  </cols>
  <sheetData>
    <row r="9" spans="1:23" ht="21" x14ac:dyDescent="0.5">
      <c r="H9" s="15">
        <f>H10/G10</f>
        <v>38.582677165354333</v>
      </c>
      <c r="I9" s="15">
        <f>I10/G10</f>
        <v>44.881889763779533</v>
      </c>
      <c r="J9" s="15">
        <f>J10/G10</f>
        <v>5.3149606299212602</v>
      </c>
      <c r="K9" s="11" t="s">
        <v>25</v>
      </c>
      <c r="L9" s="10"/>
      <c r="M9" s="10"/>
      <c r="N9" s="10"/>
      <c r="O9" s="10"/>
    </row>
    <row r="10" spans="1:23" ht="18.5" x14ac:dyDescent="0.45">
      <c r="A10" s="1">
        <v>1</v>
      </c>
      <c r="B10" s="1"/>
      <c r="C10" s="1"/>
      <c r="D10" s="1"/>
      <c r="E10" s="1"/>
      <c r="F10" s="1"/>
      <c r="G10" s="1">
        <v>25.4</v>
      </c>
      <c r="H10" s="9">
        <v>980</v>
      </c>
      <c r="I10" s="9">
        <v>1140</v>
      </c>
      <c r="J10" s="9">
        <v>135</v>
      </c>
      <c r="K10" s="9" t="s">
        <v>17</v>
      </c>
      <c r="L10" s="9">
        <v>9</v>
      </c>
      <c r="M10" s="9" t="s">
        <v>26</v>
      </c>
      <c r="N10" s="9" t="s">
        <v>17</v>
      </c>
      <c r="O10" s="12"/>
      <c r="P10" s="7"/>
      <c r="Q10" s="8"/>
      <c r="R10" s="1"/>
      <c r="S10" s="1"/>
      <c r="T10" s="1"/>
      <c r="U10" s="1"/>
      <c r="V10" s="1"/>
      <c r="W10" s="1"/>
    </row>
    <row r="11" spans="1:23" ht="15.5" x14ac:dyDescent="0.35">
      <c r="A11" s="4" t="s">
        <v>3</v>
      </c>
      <c r="B11" s="4" t="s">
        <v>4</v>
      </c>
      <c r="C11" s="4" t="s">
        <v>5</v>
      </c>
      <c r="D11" s="4" t="s">
        <v>14</v>
      </c>
      <c r="E11" s="4" t="s">
        <v>6</v>
      </c>
      <c r="F11" s="4" t="s">
        <v>15</v>
      </c>
      <c r="G11" s="4" t="s">
        <v>16</v>
      </c>
      <c r="H11" s="4" t="s">
        <v>1</v>
      </c>
      <c r="I11" s="4" t="s">
        <v>7</v>
      </c>
      <c r="J11" s="4" t="s">
        <v>18</v>
      </c>
      <c r="K11" s="4" t="s">
        <v>21</v>
      </c>
      <c r="L11" s="4" t="s">
        <v>21</v>
      </c>
      <c r="M11" s="4" t="s">
        <v>20</v>
      </c>
      <c r="N11" s="4" t="s">
        <v>8</v>
      </c>
      <c r="O11" s="4" t="s">
        <v>22</v>
      </c>
      <c r="P11" s="4" t="s">
        <v>9</v>
      </c>
      <c r="Q11" s="4" t="s">
        <v>10</v>
      </c>
      <c r="R11" s="4" t="s">
        <v>23</v>
      </c>
      <c r="S11" s="4" t="s">
        <v>31</v>
      </c>
      <c r="T11" s="4" t="s">
        <v>32</v>
      </c>
      <c r="U11" s="4" t="s">
        <v>0</v>
      </c>
      <c r="V11" s="4" t="s">
        <v>11</v>
      </c>
      <c r="W11" s="4" t="s">
        <v>12</v>
      </c>
    </row>
    <row r="12" spans="1:23" ht="15.5" x14ac:dyDescent="0.35">
      <c r="A12" s="2">
        <v>1</v>
      </c>
      <c r="B12" s="2" t="s">
        <v>13</v>
      </c>
      <c r="C12" s="2" t="s">
        <v>19</v>
      </c>
      <c r="D12" s="2" t="s">
        <v>2</v>
      </c>
      <c r="E12" s="2">
        <f>H10</f>
        <v>980</v>
      </c>
      <c r="F12" s="2">
        <f>I10</f>
        <v>1140</v>
      </c>
      <c r="G12" s="2"/>
      <c r="H12" s="2">
        <v>1</v>
      </c>
      <c r="I12" s="2"/>
      <c r="J12" s="14">
        <f>E12*F12*H12/304.8/304.8</f>
        <v>12.025440717548101</v>
      </c>
      <c r="K12" s="4">
        <f>I22*5%</f>
        <v>1.5017562023313023E-2</v>
      </c>
      <c r="L12" s="4">
        <f>J22*10%</f>
        <v>2.0027331721330106</v>
      </c>
      <c r="M12" s="4">
        <v>38</v>
      </c>
      <c r="N12" s="4">
        <v>590</v>
      </c>
      <c r="O12" s="4">
        <v>5</v>
      </c>
      <c r="P12" s="4">
        <v>190</v>
      </c>
      <c r="Q12" s="4">
        <v>50</v>
      </c>
      <c r="R12" s="4">
        <v>15</v>
      </c>
      <c r="S12" s="4">
        <v>5</v>
      </c>
      <c r="T12" s="4">
        <v>40</v>
      </c>
      <c r="U12" s="4"/>
      <c r="V12" s="13">
        <v>0.2</v>
      </c>
      <c r="W12" s="4"/>
    </row>
    <row r="13" spans="1:23" ht="15.5" x14ac:dyDescent="0.35">
      <c r="A13" s="2">
        <v>2</v>
      </c>
      <c r="B13" s="2" t="s">
        <v>13</v>
      </c>
      <c r="C13" s="2" t="s">
        <v>19</v>
      </c>
      <c r="D13" s="2" t="s">
        <v>29</v>
      </c>
      <c r="E13" s="2">
        <f>I10</f>
        <v>1140</v>
      </c>
      <c r="F13" s="2">
        <v>90</v>
      </c>
      <c r="G13" s="2"/>
      <c r="H13" s="2">
        <v>3</v>
      </c>
      <c r="I13" s="2"/>
      <c r="J13" s="14">
        <f>E13*F13*H13/304.8/304.8</f>
        <v>3.3131316262632522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15.5" x14ac:dyDescent="0.35">
      <c r="A14" s="2">
        <v>3</v>
      </c>
      <c r="B14" s="2" t="s">
        <v>13</v>
      </c>
      <c r="C14" s="2" t="s">
        <v>19</v>
      </c>
      <c r="D14" s="2" t="s">
        <v>30</v>
      </c>
      <c r="E14" s="2">
        <f>H10</f>
        <v>980</v>
      </c>
      <c r="F14" s="2">
        <v>90</v>
      </c>
      <c r="G14" s="2"/>
      <c r="H14" s="2">
        <v>2</v>
      </c>
      <c r="I14" s="2"/>
      <c r="J14" s="14">
        <f>E14*F14*H14/304.8/304.8</f>
        <v>1.8987537975075948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5.5" x14ac:dyDescent="0.35">
      <c r="A15" s="2">
        <v>4</v>
      </c>
      <c r="B15" s="2" t="s">
        <v>13</v>
      </c>
      <c r="C15" s="2" t="s">
        <v>19</v>
      </c>
      <c r="D15" s="2" t="s">
        <v>30</v>
      </c>
      <c r="E15" s="2">
        <f>I10-180</f>
        <v>960</v>
      </c>
      <c r="F15" s="2">
        <v>90</v>
      </c>
      <c r="G15" s="2"/>
      <c r="H15" s="2">
        <v>3</v>
      </c>
      <c r="I15" s="2"/>
      <c r="J15" s="14">
        <f>E15*F15*H15/304.8/304.8</f>
        <v>2.7900055800111598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.5" x14ac:dyDescent="0.35">
      <c r="A16" s="2"/>
      <c r="B16" s="2"/>
      <c r="C16" s="2"/>
      <c r="D16" s="2"/>
      <c r="E16" s="2"/>
      <c r="F16" s="2"/>
      <c r="G16" s="2"/>
      <c r="H16" s="2"/>
      <c r="I16" s="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15.5" x14ac:dyDescent="0.35">
      <c r="A18" s="2"/>
      <c r="B18" s="2"/>
      <c r="C18" s="2"/>
      <c r="D18" s="2"/>
      <c r="E18" s="2"/>
      <c r="F18" s="2"/>
      <c r="G18" s="2"/>
      <c r="H18" s="2"/>
      <c r="I18" s="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5.5" x14ac:dyDescent="0.35">
      <c r="A19" s="2">
        <v>5</v>
      </c>
      <c r="B19" s="2" t="s">
        <v>13</v>
      </c>
      <c r="C19" s="2" t="s">
        <v>28</v>
      </c>
      <c r="D19" s="2" t="s">
        <v>27</v>
      </c>
      <c r="E19" s="2">
        <v>130</v>
      </c>
      <c r="F19" s="2">
        <v>90</v>
      </c>
      <c r="G19" s="2">
        <v>90</v>
      </c>
      <c r="H19" s="2">
        <v>6</v>
      </c>
      <c r="I19" s="2">
        <f t="shared" ref="I19:I20" si="0">E19*F19*G19*H19/304.8/304.8/304.8</f>
        <v>0.22311806434636491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5.5" x14ac:dyDescent="0.35">
      <c r="A20" s="2">
        <v>6</v>
      </c>
      <c r="B20" s="2" t="s">
        <v>13</v>
      </c>
      <c r="C20" s="2" t="s">
        <v>28</v>
      </c>
      <c r="D20" s="2" t="s">
        <v>27</v>
      </c>
      <c r="E20" s="2">
        <v>90</v>
      </c>
      <c r="F20" s="2">
        <v>90</v>
      </c>
      <c r="G20" s="2">
        <v>90</v>
      </c>
      <c r="H20" s="2">
        <v>3</v>
      </c>
      <c r="I20" s="2">
        <f t="shared" si="0"/>
        <v>7.7233176119895539E-2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6"/>
      <c r="R21" s="6"/>
      <c r="S21" s="6"/>
      <c r="T21" s="6"/>
      <c r="U21" s="6"/>
      <c r="V21" s="6"/>
      <c r="W21" s="6"/>
    </row>
    <row r="22" spans="1:23" ht="15.5" x14ac:dyDescent="0.35">
      <c r="A22" s="3"/>
      <c r="B22" s="3"/>
      <c r="C22" s="3"/>
      <c r="D22" s="3"/>
      <c r="E22" s="3"/>
      <c r="F22" s="3"/>
      <c r="G22" s="3"/>
      <c r="H22" s="3"/>
      <c r="I22" s="4">
        <f>SUM(I18:I21)</f>
        <v>0.30035124046626044</v>
      </c>
      <c r="J22" s="4">
        <f>SUM(J12:J21)</f>
        <v>20.027331721330107</v>
      </c>
      <c r="K22" s="4">
        <f>I22+K12</f>
        <v>0.31536880248957344</v>
      </c>
      <c r="L22" s="4">
        <f>J22+L12</f>
        <v>22.030064893463116</v>
      </c>
      <c r="M22" s="4">
        <f>L22*M12</f>
        <v>837.14246595159841</v>
      </c>
      <c r="N22" s="4">
        <f>K22*N12</f>
        <v>186.06759346884834</v>
      </c>
      <c r="O22" s="4">
        <f>L22*O12</f>
        <v>110.15032446731558</v>
      </c>
      <c r="P22" s="4">
        <f>K22*P12</f>
        <v>59.920072473018955</v>
      </c>
      <c r="Q22" s="4">
        <f>K22*Q12+L22</f>
        <v>37.798505017941793</v>
      </c>
      <c r="R22" s="4">
        <f>K22*R12</f>
        <v>4.7305320373436013</v>
      </c>
      <c r="S22" s="4">
        <f>K22*S12</f>
        <v>1.5768440124478671</v>
      </c>
      <c r="T22" s="4">
        <f>K22*T12</f>
        <v>12.614752099582937</v>
      </c>
      <c r="U22" s="4">
        <f>SUM(M22:T22)</f>
        <v>1250.0010895280977</v>
      </c>
      <c r="V22" s="4">
        <f>U22*V12</f>
        <v>250.00021790561956</v>
      </c>
      <c r="W22" s="5">
        <f>U22+V22</f>
        <v>1500.0013074337173</v>
      </c>
    </row>
    <row r="32" spans="1:23" ht="21" x14ac:dyDescent="0.5">
      <c r="H32" s="15">
        <f>H33/G33</f>
        <v>58.661417322834652</v>
      </c>
      <c r="I32" s="15">
        <f>I33/G33</f>
        <v>43.30708661417323</v>
      </c>
      <c r="J32" s="15">
        <f>J33/G33</f>
        <v>5.3149606299212602</v>
      </c>
      <c r="K32" s="11" t="s">
        <v>25</v>
      </c>
      <c r="L32" s="10"/>
      <c r="M32" s="10"/>
      <c r="N32" s="10"/>
      <c r="O32" s="10"/>
    </row>
    <row r="33" spans="1:23" ht="18.5" x14ac:dyDescent="0.45">
      <c r="A33" s="1">
        <v>1</v>
      </c>
      <c r="B33" s="1"/>
      <c r="C33" s="1"/>
      <c r="D33" s="1"/>
      <c r="E33" s="1"/>
      <c r="F33" s="1"/>
      <c r="G33" s="1">
        <v>25.4</v>
      </c>
      <c r="H33" s="9">
        <v>1490</v>
      </c>
      <c r="I33" s="9">
        <v>1100</v>
      </c>
      <c r="J33" s="9">
        <v>135</v>
      </c>
      <c r="K33" s="9" t="s">
        <v>17</v>
      </c>
      <c r="L33" s="9">
        <v>9</v>
      </c>
      <c r="M33" s="9" t="s">
        <v>26</v>
      </c>
      <c r="N33" s="9" t="s">
        <v>17</v>
      </c>
      <c r="O33" s="12"/>
      <c r="P33" s="7"/>
      <c r="Q33" s="8"/>
      <c r="R33" s="1"/>
      <c r="S33" s="1"/>
      <c r="T33" s="1"/>
      <c r="U33" s="1"/>
      <c r="V33" s="1"/>
      <c r="W33" s="1"/>
    </row>
    <row r="34" spans="1:23" ht="15.5" x14ac:dyDescent="0.35">
      <c r="A34" s="4" t="s">
        <v>3</v>
      </c>
      <c r="B34" s="4" t="s">
        <v>4</v>
      </c>
      <c r="C34" s="4" t="s">
        <v>5</v>
      </c>
      <c r="D34" s="4" t="s">
        <v>14</v>
      </c>
      <c r="E34" s="4" t="s">
        <v>6</v>
      </c>
      <c r="F34" s="4" t="s">
        <v>15</v>
      </c>
      <c r="G34" s="4" t="s">
        <v>16</v>
      </c>
      <c r="H34" s="4" t="s">
        <v>1</v>
      </c>
      <c r="I34" s="4" t="s">
        <v>7</v>
      </c>
      <c r="J34" s="4" t="s">
        <v>18</v>
      </c>
      <c r="K34" s="4" t="s">
        <v>21</v>
      </c>
      <c r="L34" s="4" t="s">
        <v>21</v>
      </c>
      <c r="M34" s="4" t="s">
        <v>20</v>
      </c>
      <c r="N34" s="4" t="s">
        <v>8</v>
      </c>
      <c r="O34" s="4" t="s">
        <v>22</v>
      </c>
      <c r="P34" s="4" t="s">
        <v>9</v>
      </c>
      <c r="Q34" s="4" t="s">
        <v>10</v>
      </c>
      <c r="R34" s="4" t="s">
        <v>23</v>
      </c>
      <c r="S34" s="4" t="s">
        <v>31</v>
      </c>
      <c r="T34" s="4" t="s">
        <v>32</v>
      </c>
      <c r="U34" s="4" t="s">
        <v>0</v>
      </c>
      <c r="V34" s="4" t="s">
        <v>11</v>
      </c>
      <c r="W34" s="4" t="s">
        <v>12</v>
      </c>
    </row>
    <row r="35" spans="1:23" ht="15.5" x14ac:dyDescent="0.35">
      <c r="A35" s="2">
        <v>1</v>
      </c>
      <c r="B35" s="2" t="s">
        <v>13</v>
      </c>
      <c r="C35" s="2" t="s">
        <v>19</v>
      </c>
      <c r="D35" s="2" t="s">
        <v>2</v>
      </c>
      <c r="E35" s="2">
        <f>H33</f>
        <v>1490</v>
      </c>
      <c r="F35" s="2">
        <f>I33</f>
        <v>1100</v>
      </c>
      <c r="G35" s="2"/>
      <c r="H35" s="2">
        <v>1</v>
      </c>
      <c r="I35" s="2"/>
      <c r="J35" s="14">
        <f>E35*F35*H35/304.8/304.8</f>
        <v>17.642049172987235</v>
      </c>
      <c r="K35" s="4">
        <f>I45*5%</f>
        <v>1.873619642908577E-2</v>
      </c>
      <c r="L35" s="4">
        <f>J45*10%</f>
        <v>2.8356445601780091</v>
      </c>
      <c r="M35" s="4">
        <v>38</v>
      </c>
      <c r="N35" s="4">
        <v>590</v>
      </c>
      <c r="O35" s="4">
        <v>5</v>
      </c>
      <c r="P35" s="4">
        <v>190</v>
      </c>
      <c r="Q35" s="4">
        <v>50</v>
      </c>
      <c r="R35" s="4">
        <v>15</v>
      </c>
      <c r="S35" s="4">
        <v>5</v>
      </c>
      <c r="T35" s="4">
        <v>40</v>
      </c>
      <c r="U35" s="4"/>
      <c r="V35" s="13">
        <v>0.2</v>
      </c>
      <c r="W35" s="4"/>
    </row>
    <row r="36" spans="1:23" ht="15.5" x14ac:dyDescent="0.35">
      <c r="A36" s="2">
        <v>2</v>
      </c>
      <c r="B36" s="2" t="s">
        <v>13</v>
      </c>
      <c r="C36" s="2" t="s">
        <v>19</v>
      </c>
      <c r="D36" s="2" t="s">
        <v>29</v>
      </c>
      <c r="E36" s="2">
        <f>I33</f>
        <v>1100</v>
      </c>
      <c r="F36" s="2">
        <v>90</v>
      </c>
      <c r="G36" s="2"/>
      <c r="H36" s="2">
        <v>4</v>
      </c>
      <c r="I36" s="2"/>
      <c r="J36" s="14">
        <f>E36*F36*H36/304.8/304.8</f>
        <v>4.2625085250170498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5.5" x14ac:dyDescent="0.35">
      <c r="A37" s="2">
        <v>3</v>
      </c>
      <c r="B37" s="2" t="s">
        <v>13</v>
      </c>
      <c r="C37" s="2" t="s">
        <v>19</v>
      </c>
      <c r="D37" s="2" t="s">
        <v>30</v>
      </c>
      <c r="E37" s="2">
        <f>H33</f>
        <v>1490</v>
      </c>
      <c r="F37" s="2">
        <v>90</v>
      </c>
      <c r="G37" s="2"/>
      <c r="H37" s="2">
        <v>2</v>
      </c>
      <c r="I37" s="2"/>
      <c r="J37" s="14">
        <f>E37*F37*H37/304.8/304.8</f>
        <v>2.8868807737615474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5.5" x14ac:dyDescent="0.35">
      <c r="A38" s="2">
        <v>4</v>
      </c>
      <c r="B38" s="2" t="s">
        <v>13</v>
      </c>
      <c r="C38" s="2" t="s">
        <v>19</v>
      </c>
      <c r="D38" s="2" t="s">
        <v>30</v>
      </c>
      <c r="E38" s="2">
        <f>I33-180</f>
        <v>920</v>
      </c>
      <c r="F38" s="2">
        <v>90</v>
      </c>
      <c r="G38" s="2"/>
      <c r="H38" s="2">
        <v>4</v>
      </c>
      <c r="I38" s="2"/>
      <c r="J38" s="14">
        <f>E38*F38*H38/304.8/304.8</f>
        <v>3.5650071300142594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15.5" x14ac:dyDescent="0.35">
      <c r="A42" s="2">
        <v>5</v>
      </c>
      <c r="B42" s="2" t="s">
        <v>13</v>
      </c>
      <c r="C42" s="2" t="s">
        <v>28</v>
      </c>
      <c r="D42" s="2" t="s">
        <v>27</v>
      </c>
      <c r="E42" s="2">
        <v>130</v>
      </c>
      <c r="F42" s="2">
        <v>90</v>
      </c>
      <c r="G42" s="2">
        <v>90</v>
      </c>
      <c r="H42" s="2">
        <v>8</v>
      </c>
      <c r="I42" s="2">
        <f t="shared" ref="I42:I43" si="1">E42*F42*G42*H42/304.8/304.8/304.8</f>
        <v>0.29749075246181983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15.5" x14ac:dyDescent="0.35">
      <c r="A43" s="2">
        <v>6</v>
      </c>
      <c r="B43" s="2" t="s">
        <v>13</v>
      </c>
      <c r="C43" s="2" t="s">
        <v>28</v>
      </c>
      <c r="D43" s="2" t="s">
        <v>27</v>
      </c>
      <c r="E43" s="2">
        <v>90</v>
      </c>
      <c r="F43" s="2">
        <v>90</v>
      </c>
      <c r="G43" s="2">
        <v>90</v>
      </c>
      <c r="H43" s="2">
        <v>3</v>
      </c>
      <c r="I43" s="2">
        <f t="shared" si="1"/>
        <v>7.7233176119895539E-2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/>
      <c r="R44" s="6"/>
      <c r="S44" s="6"/>
      <c r="T44" s="6"/>
      <c r="U44" s="6"/>
      <c r="V44" s="6"/>
      <c r="W44" s="6"/>
    </row>
    <row r="45" spans="1:23" ht="15.5" x14ac:dyDescent="0.35">
      <c r="A45" s="3"/>
      <c r="B45" s="3"/>
      <c r="C45" s="3"/>
      <c r="D45" s="3"/>
      <c r="E45" s="3"/>
      <c r="F45" s="3"/>
      <c r="G45" s="3"/>
      <c r="H45" s="3"/>
      <c r="I45" s="4">
        <f>SUM(I41:I44)</f>
        <v>0.37472392858171538</v>
      </c>
      <c r="J45" s="4">
        <f>SUM(J35:J44)</f>
        <v>28.356445601780091</v>
      </c>
      <c r="K45" s="4">
        <f>I45+K35</f>
        <v>0.39346012501080113</v>
      </c>
      <c r="L45" s="4">
        <f>J45+L35</f>
        <v>31.192090161958099</v>
      </c>
      <c r="M45" s="4">
        <f>L45*M35</f>
        <v>1185.2994261544077</v>
      </c>
      <c r="N45" s="4">
        <f>K45*N35</f>
        <v>232.14147375637268</v>
      </c>
      <c r="O45" s="4">
        <f>L45*O35</f>
        <v>155.9604508097905</v>
      </c>
      <c r="P45" s="4">
        <f>K45*P35</f>
        <v>74.757423752052219</v>
      </c>
      <c r="Q45" s="4">
        <f>K45*Q35+L45</f>
        <v>50.865096412498154</v>
      </c>
      <c r="R45" s="4">
        <f>K45*R35</f>
        <v>5.9019018751620171</v>
      </c>
      <c r="S45" s="4">
        <f>K45*S35</f>
        <v>1.9673006250540057</v>
      </c>
      <c r="T45" s="4">
        <f>K45*T35</f>
        <v>15.738405000432046</v>
      </c>
      <c r="U45" s="4">
        <f>SUM(M45:T45)</f>
        <v>1722.6314783857692</v>
      </c>
      <c r="V45" s="4">
        <f>U45*V35</f>
        <v>344.52629567715388</v>
      </c>
      <c r="W45" s="5">
        <f>U45+V45</f>
        <v>2067.1577740629232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A939-1B52-488B-9749-007A4114262B}">
  <dimension ref="A9:W18"/>
  <sheetViews>
    <sheetView tabSelected="1" workbookViewId="0">
      <selection activeCell="F23" sqref="F23"/>
    </sheetView>
  </sheetViews>
  <sheetFormatPr defaultRowHeight="14.5" x14ac:dyDescent="0.35"/>
  <cols>
    <col min="2" max="2" width="10.54296875" customWidth="1"/>
    <col min="3" max="3" width="14" customWidth="1"/>
    <col min="11" max="11" width="10.81640625" customWidth="1"/>
    <col min="12" max="12" width="11.26953125" customWidth="1"/>
    <col min="13" max="13" width="10.453125" customWidth="1"/>
    <col min="23" max="23" width="11.1796875" customWidth="1"/>
  </cols>
  <sheetData>
    <row r="9" spans="1:23" ht="21" x14ac:dyDescent="0.5">
      <c r="H9" s="15">
        <f>H10/G10</f>
        <v>47.244094488188978</v>
      </c>
      <c r="I9" s="15">
        <f>I10/G10</f>
        <v>43.30708661417323</v>
      </c>
      <c r="J9" s="15">
        <f>J10/G10</f>
        <v>7.6771653543307092</v>
      </c>
      <c r="K9" s="11" t="s">
        <v>25</v>
      </c>
      <c r="L9" s="10"/>
      <c r="M9" s="10"/>
      <c r="N9" s="10"/>
      <c r="O9" s="10"/>
    </row>
    <row r="10" spans="1:23" ht="18.5" x14ac:dyDescent="0.45">
      <c r="A10" s="1">
        <v>1</v>
      </c>
      <c r="B10" s="1"/>
      <c r="C10" s="1"/>
      <c r="D10" s="1"/>
      <c r="E10" s="1"/>
      <c r="F10" s="1"/>
      <c r="G10" s="1">
        <v>25.4</v>
      </c>
      <c r="H10" s="9">
        <v>1200</v>
      </c>
      <c r="I10" s="9">
        <v>1100</v>
      </c>
      <c r="J10" s="9">
        <v>195</v>
      </c>
      <c r="K10" s="9" t="s">
        <v>17</v>
      </c>
      <c r="L10" s="9">
        <v>9</v>
      </c>
      <c r="M10" s="9" t="s">
        <v>26</v>
      </c>
      <c r="N10" s="9" t="s">
        <v>17</v>
      </c>
      <c r="O10" s="12"/>
      <c r="P10" s="7"/>
      <c r="Q10" s="8"/>
      <c r="R10" s="1"/>
      <c r="S10" s="1"/>
      <c r="T10" s="1"/>
      <c r="U10" s="1"/>
      <c r="V10" s="1"/>
      <c r="W10" s="1"/>
    </row>
    <row r="11" spans="1:23" ht="15.5" x14ac:dyDescent="0.35">
      <c r="A11" s="4" t="s">
        <v>3</v>
      </c>
      <c r="B11" s="4" t="s">
        <v>4</v>
      </c>
      <c r="C11" s="4" t="s">
        <v>5</v>
      </c>
      <c r="D11" s="4" t="s">
        <v>14</v>
      </c>
      <c r="E11" s="4" t="s">
        <v>6</v>
      </c>
      <c r="F11" s="4" t="s">
        <v>15</v>
      </c>
      <c r="G11" s="4" t="s">
        <v>16</v>
      </c>
      <c r="H11" s="4" t="s">
        <v>1</v>
      </c>
      <c r="I11" s="4" t="s">
        <v>7</v>
      </c>
      <c r="J11" s="4" t="s">
        <v>18</v>
      </c>
      <c r="K11" s="4" t="s">
        <v>21</v>
      </c>
      <c r="L11" s="4" t="s">
        <v>21</v>
      </c>
      <c r="M11" s="4" t="s">
        <v>20</v>
      </c>
      <c r="N11" s="4" t="s">
        <v>8</v>
      </c>
      <c r="O11" s="4" t="s">
        <v>22</v>
      </c>
      <c r="P11" s="4" t="s">
        <v>9</v>
      </c>
      <c r="Q11" s="4" t="s">
        <v>10</v>
      </c>
      <c r="R11" s="4" t="s">
        <v>23</v>
      </c>
      <c r="S11" s="4" t="s">
        <v>31</v>
      </c>
      <c r="T11" s="4" t="s">
        <v>24</v>
      </c>
      <c r="U11" s="4" t="s">
        <v>0</v>
      </c>
      <c r="V11" s="4" t="s">
        <v>11</v>
      </c>
      <c r="W11" s="4" t="s">
        <v>12</v>
      </c>
    </row>
    <row r="12" spans="1:23" ht="15.5" x14ac:dyDescent="0.35">
      <c r="A12" s="2">
        <v>1</v>
      </c>
      <c r="B12" s="2" t="s">
        <v>13</v>
      </c>
      <c r="C12" s="2" t="s">
        <v>19</v>
      </c>
      <c r="D12" s="2" t="s">
        <v>2</v>
      </c>
      <c r="E12" s="2">
        <f>H10</f>
        <v>1200</v>
      </c>
      <c r="F12" s="2">
        <f>I10</f>
        <v>1100</v>
      </c>
      <c r="G12" s="2"/>
      <c r="H12" s="2">
        <v>1</v>
      </c>
      <c r="I12" s="2"/>
      <c r="J12" s="14">
        <f>E12*F12*H12/304.8/304.8</f>
        <v>14.208361750056831</v>
      </c>
      <c r="K12" s="4">
        <f>I18*5%</f>
        <v>1.1584976417984333E-2</v>
      </c>
      <c r="L12" s="4">
        <f>J18*7%</f>
        <v>1.46249250831835</v>
      </c>
      <c r="M12" s="4">
        <v>38</v>
      </c>
      <c r="N12" s="4">
        <v>590</v>
      </c>
      <c r="O12" s="4">
        <v>5</v>
      </c>
      <c r="P12" s="4">
        <v>190</v>
      </c>
      <c r="Q12" s="4">
        <v>50</v>
      </c>
      <c r="R12" s="4">
        <v>5</v>
      </c>
      <c r="S12" s="4">
        <v>3</v>
      </c>
      <c r="T12" s="4">
        <v>3</v>
      </c>
      <c r="U12" s="4"/>
      <c r="V12" s="13">
        <v>0.2</v>
      </c>
      <c r="W12" s="4"/>
    </row>
    <row r="13" spans="1:23" ht="15.5" x14ac:dyDescent="0.35">
      <c r="A13" s="2">
        <v>2</v>
      </c>
      <c r="B13" s="2" t="s">
        <v>13</v>
      </c>
      <c r="C13" s="2" t="s">
        <v>19</v>
      </c>
      <c r="D13" s="2" t="s">
        <v>29</v>
      </c>
      <c r="E13" s="2">
        <f>H10</f>
        <v>1200</v>
      </c>
      <c r="F13" s="2">
        <v>90</v>
      </c>
      <c r="G13" s="2"/>
      <c r="H13" s="2">
        <v>3</v>
      </c>
      <c r="I13" s="2"/>
      <c r="J13" s="14">
        <f>E13*F13*H13/304.8/304.8</f>
        <v>3.4875069750139498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15.5" x14ac:dyDescent="0.35">
      <c r="A14" s="2">
        <v>3</v>
      </c>
      <c r="B14" s="2" t="s">
        <v>13</v>
      </c>
      <c r="C14" s="2" t="s">
        <v>19</v>
      </c>
      <c r="D14" s="2" t="s">
        <v>30</v>
      </c>
      <c r="E14" s="2">
        <f>I10</f>
        <v>1100</v>
      </c>
      <c r="F14" s="2">
        <v>90</v>
      </c>
      <c r="G14" s="2"/>
      <c r="H14" s="2">
        <v>3</v>
      </c>
      <c r="I14" s="2"/>
      <c r="J14" s="14">
        <f>E14*F14*H14/304.8/304.8</f>
        <v>3.1968813937627871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5.5" x14ac:dyDescent="0.35">
      <c r="A15" s="2"/>
      <c r="B15" s="2"/>
      <c r="C15" s="2"/>
      <c r="D15" s="2"/>
      <c r="E15" s="2"/>
      <c r="F15" s="2"/>
      <c r="G15" s="2"/>
      <c r="H15" s="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.5" x14ac:dyDescent="0.35">
      <c r="A16" s="2">
        <v>6</v>
      </c>
      <c r="B16" s="2" t="s">
        <v>13</v>
      </c>
      <c r="C16" s="2" t="s">
        <v>28</v>
      </c>
      <c r="D16" s="2" t="s">
        <v>27</v>
      </c>
      <c r="E16" s="2">
        <v>90</v>
      </c>
      <c r="F16" s="2">
        <v>90</v>
      </c>
      <c r="G16" s="2">
        <v>90</v>
      </c>
      <c r="H16" s="2">
        <v>9</v>
      </c>
      <c r="I16" s="2">
        <f t="shared" ref="I16" si="0">E16*F16*G16*H16/304.8/304.8/304.8</f>
        <v>0.23169952835968666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6"/>
      <c r="R17" s="6"/>
      <c r="S17" s="6"/>
      <c r="T17" s="6"/>
      <c r="U17" s="6"/>
      <c r="V17" s="6"/>
      <c r="W17" s="6"/>
    </row>
    <row r="18" spans="1:23" ht="15.5" x14ac:dyDescent="0.35">
      <c r="A18" s="3"/>
      <c r="B18" s="3"/>
      <c r="C18" s="3"/>
      <c r="D18" s="3"/>
      <c r="E18" s="3"/>
      <c r="F18" s="3"/>
      <c r="G18" s="3"/>
      <c r="H18" s="3"/>
      <c r="I18" s="4">
        <f>SUM(I15:I17)</f>
        <v>0.23169952835968666</v>
      </c>
      <c r="J18" s="4">
        <f>SUM(J12:J17)</f>
        <v>20.892750118833568</v>
      </c>
      <c r="K18" s="4">
        <f>I18+K12</f>
        <v>0.243284504777671</v>
      </c>
      <c r="L18" s="4">
        <f>J18+L12</f>
        <v>22.355242627151917</v>
      </c>
      <c r="M18" s="4">
        <f>L18*M12</f>
        <v>849.49921983177285</v>
      </c>
      <c r="N18" s="4">
        <f>K18*N12</f>
        <v>143.5378578188259</v>
      </c>
      <c r="O18" s="4">
        <f>L18*O12</f>
        <v>111.77621313575958</v>
      </c>
      <c r="P18" s="4">
        <f>K18*P12</f>
        <v>46.224055907757489</v>
      </c>
      <c r="Q18" s="4">
        <f>K18*Q12+L18</f>
        <v>34.51946786603547</v>
      </c>
      <c r="R18" s="4">
        <f>K18*R12+L18</f>
        <v>23.571665151040271</v>
      </c>
      <c r="S18" s="4">
        <f>K18*S12+L18</f>
        <v>23.085096141484929</v>
      </c>
      <c r="T18" s="4">
        <f>K18*T12+L18</f>
        <v>23.085096141484929</v>
      </c>
      <c r="U18" s="4">
        <f>SUM(M18:T18)</f>
        <v>1255.2986719941612</v>
      </c>
      <c r="V18" s="4">
        <f>U18*V12</f>
        <v>251.05973439883223</v>
      </c>
      <c r="W18" s="5">
        <f>U18+V18</f>
        <v>1506.3584063929934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SEETHA R</cp:lastModifiedBy>
  <dcterms:created xsi:type="dcterms:W3CDTF">2018-11-09T06:31:53Z</dcterms:created>
  <dcterms:modified xsi:type="dcterms:W3CDTF">2026-07-11T08:30:43Z</dcterms:modified>
</cp:coreProperties>
</file>