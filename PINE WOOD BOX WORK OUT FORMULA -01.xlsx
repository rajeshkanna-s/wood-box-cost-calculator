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LSHADDAI WOOD PACKING\ELSHADDAI WOOD PACKING 2026-2027\SUPPLYER NAME 2025-2026\GLOBIN PACKAGING 2024-2025\"/>
    </mc:Choice>
  </mc:AlternateContent>
  <xr:revisionPtr revIDLastSave="0" documentId="13_ncr:1_{F19432A8-AA9C-4223-8B2B-8FDECCA654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1" l="1"/>
  <c r="I30" i="1" s="1"/>
  <c r="E198" i="1"/>
  <c r="I198" i="1"/>
  <c r="E147" i="1"/>
  <c r="I147" i="1" s="1"/>
  <c r="E122" i="1"/>
  <c r="I122" i="1" s="1"/>
  <c r="E96" i="1"/>
  <c r="I96" i="1"/>
  <c r="E71" i="1"/>
  <c r="I71" i="1" s="1"/>
  <c r="E47" i="1"/>
  <c r="I47" i="1" s="1"/>
  <c r="E24" i="1"/>
  <c r="I24" i="1" s="1"/>
  <c r="H204" i="1"/>
  <c r="I204" i="1" s="1"/>
  <c r="E203" i="1"/>
  <c r="I203" i="1" s="1"/>
  <c r="E202" i="1"/>
  <c r="I202" i="1" s="1"/>
  <c r="E201" i="1"/>
  <c r="I201" i="1" s="1"/>
  <c r="E200" i="1"/>
  <c r="I200" i="1" s="1"/>
  <c r="E199" i="1"/>
  <c r="I199" i="1" s="1"/>
  <c r="E197" i="1"/>
  <c r="I197" i="1" s="1"/>
  <c r="E196" i="1"/>
  <c r="I196" i="1" s="1"/>
  <c r="E195" i="1"/>
  <c r="I195" i="1" s="1"/>
  <c r="E194" i="1"/>
  <c r="I194" i="1" s="1"/>
  <c r="F193" i="1"/>
  <c r="E193" i="1"/>
  <c r="J193" i="1" s="1"/>
  <c r="F192" i="1"/>
  <c r="E192" i="1"/>
  <c r="F191" i="1"/>
  <c r="E191" i="1"/>
  <c r="J191" i="1" s="1"/>
  <c r="J188" i="1"/>
  <c r="I188" i="1"/>
  <c r="H188" i="1"/>
  <c r="H178" i="1"/>
  <c r="I178" i="1" s="1"/>
  <c r="E177" i="1"/>
  <c r="I177" i="1" s="1"/>
  <c r="E176" i="1"/>
  <c r="I176" i="1" s="1"/>
  <c r="E175" i="1"/>
  <c r="I175" i="1" s="1"/>
  <c r="E174" i="1"/>
  <c r="I174" i="1" s="1"/>
  <c r="E173" i="1"/>
  <c r="I173" i="1" s="1"/>
  <c r="E172" i="1"/>
  <c r="I172" i="1" s="1"/>
  <c r="E171" i="1"/>
  <c r="I171" i="1" s="1"/>
  <c r="E170" i="1"/>
  <c r="I170" i="1" s="1"/>
  <c r="E169" i="1"/>
  <c r="I169" i="1" s="1"/>
  <c r="F168" i="1"/>
  <c r="E168" i="1"/>
  <c r="J168" i="1" s="1"/>
  <c r="F167" i="1"/>
  <c r="E167" i="1"/>
  <c r="F166" i="1"/>
  <c r="E166" i="1"/>
  <c r="J166" i="1" s="1"/>
  <c r="J163" i="1"/>
  <c r="I163" i="1"/>
  <c r="H163" i="1"/>
  <c r="I153" i="1"/>
  <c r="E152" i="1"/>
  <c r="I152" i="1" s="1"/>
  <c r="E151" i="1"/>
  <c r="I151" i="1" s="1"/>
  <c r="E150" i="1"/>
  <c r="I150" i="1" s="1"/>
  <c r="E149" i="1"/>
  <c r="I149" i="1" s="1"/>
  <c r="E148" i="1"/>
  <c r="I148" i="1" s="1"/>
  <c r="E146" i="1"/>
  <c r="I146" i="1" s="1"/>
  <c r="E145" i="1"/>
  <c r="I145" i="1" s="1"/>
  <c r="E144" i="1"/>
  <c r="I144" i="1" s="1"/>
  <c r="E143" i="1"/>
  <c r="I143" i="1" s="1"/>
  <c r="F142" i="1"/>
  <c r="E142" i="1"/>
  <c r="F141" i="1"/>
  <c r="E141" i="1"/>
  <c r="J141" i="1" s="1"/>
  <c r="F140" i="1"/>
  <c r="E140" i="1"/>
  <c r="J137" i="1"/>
  <c r="I137" i="1"/>
  <c r="H137" i="1"/>
  <c r="I128" i="1"/>
  <c r="E127" i="1"/>
  <c r="I127" i="1" s="1"/>
  <c r="E126" i="1"/>
  <c r="I126" i="1" s="1"/>
  <c r="E125" i="1"/>
  <c r="I125" i="1" s="1"/>
  <c r="E124" i="1"/>
  <c r="I124" i="1" s="1"/>
  <c r="E123" i="1"/>
  <c r="I123" i="1" s="1"/>
  <c r="E121" i="1"/>
  <c r="I121" i="1" s="1"/>
  <c r="E120" i="1"/>
  <c r="I120" i="1" s="1"/>
  <c r="E119" i="1"/>
  <c r="I119" i="1" s="1"/>
  <c r="E118" i="1"/>
  <c r="I118" i="1" s="1"/>
  <c r="F117" i="1"/>
  <c r="E117" i="1"/>
  <c r="F116" i="1"/>
  <c r="E116" i="1"/>
  <c r="J116" i="1" s="1"/>
  <c r="F115" i="1"/>
  <c r="E115" i="1"/>
  <c r="J112" i="1"/>
  <c r="I112" i="1"/>
  <c r="H112" i="1"/>
  <c r="H102" i="1"/>
  <c r="I102" i="1" s="1"/>
  <c r="E101" i="1"/>
  <c r="I101" i="1" s="1"/>
  <c r="E100" i="1"/>
  <c r="I100" i="1" s="1"/>
  <c r="E99" i="1"/>
  <c r="I99" i="1" s="1"/>
  <c r="E98" i="1"/>
  <c r="I98" i="1" s="1"/>
  <c r="E97" i="1"/>
  <c r="I97" i="1" s="1"/>
  <c r="E95" i="1"/>
  <c r="I95" i="1" s="1"/>
  <c r="E94" i="1"/>
  <c r="I94" i="1" s="1"/>
  <c r="E93" i="1"/>
  <c r="I93" i="1" s="1"/>
  <c r="E92" i="1"/>
  <c r="I92" i="1" s="1"/>
  <c r="F91" i="1"/>
  <c r="E91" i="1"/>
  <c r="J91" i="1" s="1"/>
  <c r="F90" i="1"/>
  <c r="E90" i="1"/>
  <c r="F89" i="1"/>
  <c r="E89" i="1"/>
  <c r="J89" i="1" s="1"/>
  <c r="J86" i="1"/>
  <c r="I86" i="1"/>
  <c r="H86" i="1"/>
  <c r="H77" i="1"/>
  <c r="I77" i="1" s="1"/>
  <c r="E76" i="1"/>
  <c r="I76" i="1" s="1"/>
  <c r="E75" i="1"/>
  <c r="I75" i="1" s="1"/>
  <c r="E74" i="1"/>
  <c r="I74" i="1" s="1"/>
  <c r="E73" i="1"/>
  <c r="I73" i="1" s="1"/>
  <c r="E72" i="1"/>
  <c r="I72" i="1" s="1"/>
  <c r="E70" i="1"/>
  <c r="I70" i="1" s="1"/>
  <c r="E69" i="1"/>
  <c r="I69" i="1" s="1"/>
  <c r="E68" i="1"/>
  <c r="I68" i="1" s="1"/>
  <c r="E67" i="1"/>
  <c r="I67" i="1" s="1"/>
  <c r="F66" i="1"/>
  <c r="E66" i="1"/>
  <c r="J66" i="1" s="1"/>
  <c r="F65" i="1"/>
  <c r="E65" i="1"/>
  <c r="F64" i="1"/>
  <c r="E64" i="1"/>
  <c r="J61" i="1"/>
  <c r="I61" i="1"/>
  <c r="H61" i="1"/>
  <c r="H53" i="1"/>
  <c r="I53" i="1" s="1"/>
  <c r="E52" i="1"/>
  <c r="I52" i="1" s="1"/>
  <c r="E51" i="1"/>
  <c r="I51" i="1" s="1"/>
  <c r="E50" i="1"/>
  <c r="I50" i="1" s="1"/>
  <c r="E49" i="1"/>
  <c r="I49" i="1" s="1"/>
  <c r="E48" i="1"/>
  <c r="I48" i="1" s="1"/>
  <c r="E46" i="1"/>
  <c r="I46" i="1" s="1"/>
  <c r="E45" i="1"/>
  <c r="I45" i="1" s="1"/>
  <c r="E44" i="1"/>
  <c r="I44" i="1" s="1"/>
  <c r="E43" i="1"/>
  <c r="I43" i="1" s="1"/>
  <c r="F42" i="1"/>
  <c r="E42" i="1"/>
  <c r="F41" i="1"/>
  <c r="E41" i="1"/>
  <c r="F40" i="1"/>
  <c r="E40" i="1"/>
  <c r="J37" i="1"/>
  <c r="I37" i="1"/>
  <c r="H37" i="1"/>
  <c r="E21" i="1"/>
  <c r="I21" i="1" s="1"/>
  <c r="E22" i="1"/>
  <c r="I22" i="1" s="1"/>
  <c r="E23" i="1"/>
  <c r="I23" i="1" s="1"/>
  <c r="E25" i="1"/>
  <c r="I25" i="1" s="1"/>
  <c r="E26" i="1"/>
  <c r="I26" i="1" s="1"/>
  <c r="E27" i="1"/>
  <c r="I27" i="1" s="1"/>
  <c r="E28" i="1"/>
  <c r="I28" i="1" s="1"/>
  <c r="E29" i="1"/>
  <c r="E20" i="1"/>
  <c r="J15" i="1"/>
  <c r="F19" i="1"/>
  <c r="E19" i="1"/>
  <c r="F20" i="1"/>
  <c r="J20" i="1" s="1"/>
  <c r="E18" i="1"/>
  <c r="F18" i="1"/>
  <c r="H15" i="1"/>
  <c r="I15" i="1"/>
  <c r="Z27" i="1"/>
  <c r="J90" i="1" l="1"/>
  <c r="J104" i="1" s="1"/>
  <c r="J140" i="1"/>
  <c r="J18" i="1"/>
  <c r="J64" i="1"/>
  <c r="J142" i="1"/>
  <c r="J192" i="1"/>
  <c r="J206" i="1" s="1"/>
  <c r="J117" i="1"/>
  <c r="J167" i="1"/>
  <c r="J180" i="1" s="1"/>
  <c r="L166" i="1" s="1"/>
  <c r="L180" i="1" s="1"/>
  <c r="J19" i="1"/>
  <c r="J40" i="1"/>
  <c r="J32" i="1"/>
  <c r="J41" i="1"/>
  <c r="I55" i="1"/>
  <c r="J115" i="1"/>
  <c r="I180" i="1"/>
  <c r="K166" i="1" s="1"/>
  <c r="K180" i="1" s="1"/>
  <c r="J42" i="1"/>
  <c r="I206" i="1"/>
  <c r="K191" i="1" s="1"/>
  <c r="K206" i="1" s="1"/>
  <c r="I155" i="1"/>
  <c r="K140" i="1" s="1"/>
  <c r="K155" i="1" s="1"/>
  <c r="I130" i="1"/>
  <c r="K115" i="1" s="1"/>
  <c r="K130" i="1" s="1"/>
  <c r="I104" i="1"/>
  <c r="K89" i="1" s="1"/>
  <c r="K104" i="1" s="1"/>
  <c r="J155" i="1"/>
  <c r="J65" i="1"/>
  <c r="I79" i="1"/>
  <c r="K40" i="1"/>
  <c r="K55" i="1" s="1"/>
  <c r="I29" i="1"/>
  <c r="L191" i="1" l="1"/>
  <c r="L206" i="1" s="1"/>
  <c r="J55" i="1"/>
  <c r="L40" i="1" s="1"/>
  <c r="L55" i="1" s="1"/>
  <c r="J130" i="1"/>
  <c r="L115" i="1" s="1"/>
  <c r="L130" i="1" s="1"/>
  <c r="O130" i="1" s="1"/>
  <c r="J79" i="1"/>
  <c r="I32" i="1"/>
  <c r="L18" i="1"/>
  <c r="L32" i="1" s="1"/>
  <c r="M32" i="1" s="1"/>
  <c r="N206" i="1"/>
  <c r="P206" i="1"/>
  <c r="Q206" i="1"/>
  <c r="R206" i="1"/>
  <c r="S206" i="1"/>
  <c r="T206" i="1"/>
  <c r="N180" i="1"/>
  <c r="P180" i="1"/>
  <c r="Q180" i="1"/>
  <c r="R180" i="1"/>
  <c r="S180" i="1"/>
  <c r="T180" i="1"/>
  <c r="M180" i="1"/>
  <c r="O180" i="1"/>
  <c r="N155" i="1"/>
  <c r="P155" i="1"/>
  <c r="Q155" i="1"/>
  <c r="R155" i="1"/>
  <c r="S155" i="1"/>
  <c r="T155" i="1"/>
  <c r="L140" i="1"/>
  <c r="L155" i="1" s="1"/>
  <c r="N130" i="1"/>
  <c r="P130" i="1"/>
  <c r="Q130" i="1"/>
  <c r="R130" i="1"/>
  <c r="S130" i="1"/>
  <c r="T130" i="1"/>
  <c r="M130" i="1"/>
  <c r="N104" i="1"/>
  <c r="P104" i="1"/>
  <c r="Q104" i="1"/>
  <c r="R104" i="1"/>
  <c r="S104" i="1"/>
  <c r="T104" i="1"/>
  <c r="L89" i="1"/>
  <c r="L104" i="1"/>
  <c r="L64" i="1"/>
  <c r="L79" i="1" s="1"/>
  <c r="K64" i="1"/>
  <c r="K79" i="1" s="1"/>
  <c r="N55" i="1"/>
  <c r="P55" i="1"/>
  <c r="Q55" i="1"/>
  <c r="R55" i="1"/>
  <c r="S55" i="1"/>
  <c r="T55" i="1"/>
  <c r="M55" i="1"/>
  <c r="O55" i="1"/>
  <c r="M206" i="1" l="1"/>
  <c r="O206" i="1"/>
  <c r="K18" i="1"/>
  <c r="K32" i="1" s="1"/>
  <c r="U206" i="1"/>
  <c r="V206" i="1" s="1"/>
  <c r="W206" i="1" s="1"/>
  <c r="U180" i="1"/>
  <c r="M155" i="1"/>
  <c r="O155" i="1"/>
  <c r="U130" i="1"/>
  <c r="V130" i="1" s="1"/>
  <c r="W130" i="1" s="1"/>
  <c r="M104" i="1"/>
  <c r="O104" i="1"/>
  <c r="M79" i="1"/>
  <c r="O79" i="1"/>
  <c r="N79" i="1"/>
  <c r="P79" i="1"/>
  <c r="Q79" i="1"/>
  <c r="R79" i="1"/>
  <c r="S79" i="1"/>
  <c r="T79" i="1"/>
  <c r="U55" i="1"/>
  <c r="V55" i="1" s="1"/>
  <c r="W55" i="1" s="1"/>
  <c r="N32" i="1" l="1"/>
  <c r="P32" i="1"/>
  <c r="R32" i="1"/>
  <c r="T32" i="1"/>
  <c r="S32" i="1"/>
  <c r="Q32" i="1"/>
  <c r="V180" i="1"/>
  <c r="W180" i="1" s="1"/>
  <c r="U155" i="1"/>
  <c r="U104" i="1"/>
  <c r="U79" i="1"/>
  <c r="O32" i="1"/>
  <c r="V155" i="1" l="1"/>
  <c r="W155" i="1" s="1"/>
  <c r="V104" i="1"/>
  <c r="W104" i="1" s="1"/>
  <c r="V79" i="1"/>
  <c r="W79" i="1" s="1"/>
  <c r="U32" i="1"/>
  <c r="V32" i="1" l="1"/>
  <c r="W32" i="1" s="1"/>
</calcChain>
</file>

<file path=xl/sharedStrings.xml><?xml version="1.0" encoding="utf-8"?>
<sst xmlns="http://schemas.openxmlformats.org/spreadsheetml/2006/main" count="546" uniqueCount="40">
  <si>
    <t>TOTAL</t>
  </si>
  <si>
    <t>QTY</t>
  </si>
  <si>
    <t>TOP</t>
  </si>
  <si>
    <t>SIDE</t>
  </si>
  <si>
    <t>ENS</t>
  </si>
  <si>
    <t>SR</t>
  </si>
  <si>
    <t>S.NO</t>
  </si>
  <si>
    <t>DATE</t>
  </si>
  <si>
    <t>NAME</t>
  </si>
  <si>
    <t>LENTH</t>
  </si>
  <si>
    <t>CFT</t>
  </si>
  <si>
    <t>CFT RATE</t>
  </si>
  <si>
    <t xml:space="preserve">LABOUR </t>
  </si>
  <si>
    <t>NAIL</t>
  </si>
  <si>
    <t>PROFIT</t>
  </si>
  <si>
    <t>FINAL TOTAL</t>
  </si>
  <si>
    <t>TR</t>
  </si>
  <si>
    <t>PINE WOOD</t>
  </si>
  <si>
    <t>22.04.2026</t>
  </si>
  <si>
    <t>SIZE</t>
  </si>
  <si>
    <t>WITH</t>
  </si>
  <si>
    <t>HIGHT</t>
  </si>
  <si>
    <t>ER</t>
  </si>
  <si>
    <t>ES</t>
  </si>
  <si>
    <t>MM</t>
  </si>
  <si>
    <t>SQ</t>
  </si>
  <si>
    <t>PLY</t>
  </si>
  <si>
    <t>TS</t>
  </si>
  <si>
    <t>BR</t>
  </si>
  <si>
    <t>BBS</t>
  </si>
  <si>
    <t>SS</t>
  </si>
  <si>
    <t>SQ RATE</t>
  </si>
  <si>
    <t>VAST 10%</t>
  </si>
  <si>
    <t>SQ LAB</t>
  </si>
  <si>
    <t>PLAINIG</t>
  </si>
  <si>
    <t>HT</t>
  </si>
  <si>
    <t>LODING</t>
  </si>
  <si>
    <t>INCH</t>
  </si>
  <si>
    <t>BLOOK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</si>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</sst>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/>
    <xf numFmtId="0" fontId="3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3" fillId="3" borderId="2" xfId="0" applyFont="1" applyFill="1" applyBorder="1"/>
    <xf numFmtId="9" fontId="2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5:Z206"/>
  <sheetViews>
    <sheetView tabSelected="1" topLeftCell="A4" workbookViewId="0">
      <selection activeCell="L14" sqref="L14"/>
    </sheetView>
  </sheetViews>
  <sheetFormatPr defaultRowHeight="15" x14ac:dyDescent="0.25"/>
  <cols>
    <col min="1" max="1" width="7.140625" customWidth="1"/>
    <col min="2" max="2" width="10.5703125" customWidth="1"/>
    <col min="3" max="3" width="11.7109375" customWidth="1"/>
    <col min="4" max="4" width="8" customWidth="1"/>
    <col min="5" max="5" width="8.140625" customWidth="1"/>
    <col min="6" max="6" width="9" customWidth="1"/>
    <col min="7" max="7" width="9.28515625" customWidth="1"/>
    <col min="8" max="8" width="8.7109375" customWidth="1"/>
    <col min="9" max="9" width="12.140625" customWidth="1"/>
    <col min="10" max="10" width="11.7109375" customWidth="1"/>
    <col min="11" max="13" width="10.42578125" customWidth="1"/>
    <col min="14" max="15" width="10.7109375" customWidth="1"/>
    <col min="16" max="16" width="12.7109375" customWidth="1"/>
    <col min="17" max="17" width="11.140625" customWidth="1"/>
    <col min="18" max="18" width="12.140625" customWidth="1"/>
    <col min="19" max="19" width="15.5703125" customWidth="1"/>
    <col min="20" max="20" width="13.5703125" customWidth="1"/>
    <col min="21" max="21" width="16.85546875" customWidth="1"/>
    <col min="22" max="22" width="11.42578125" customWidth="1"/>
    <col min="23" max="23" width="12.7109375" customWidth="1"/>
  </cols>
  <sheetData>
    <row r="15" spans="1:23" ht="21" x14ac:dyDescent="0.35">
      <c r="H15" s="16">
        <f>H16/G16</f>
        <v>44.881889763779533</v>
      </c>
      <c r="I15" s="16">
        <f>I16/G16</f>
        <v>31.496062992125985</v>
      </c>
      <c r="J15" s="16">
        <f>J16/G16</f>
        <v>7.6771653543307092</v>
      </c>
      <c r="K15" s="12" t="s">
        <v>37</v>
      </c>
      <c r="L15" s="11"/>
      <c r="M15" s="11"/>
      <c r="N15" s="11"/>
      <c r="O15" s="11"/>
    </row>
    <row r="16" spans="1:23" ht="18.75" x14ac:dyDescent="0.3">
      <c r="A16" s="1">
        <v>1</v>
      </c>
      <c r="B16" s="1"/>
      <c r="C16" s="1"/>
      <c r="D16" s="1"/>
      <c r="E16" s="1"/>
      <c r="F16" s="1"/>
      <c r="G16" s="1">
        <v>25.4</v>
      </c>
      <c r="H16" s="10">
        <v>1140</v>
      </c>
      <c r="I16" s="10">
        <v>800</v>
      </c>
      <c r="J16" s="10">
        <v>195</v>
      </c>
      <c r="K16" s="10" t="s">
        <v>24</v>
      </c>
      <c r="L16" s="10">
        <v>9</v>
      </c>
      <c r="M16" s="10" t="s">
        <v>38</v>
      </c>
      <c r="N16" s="10" t="s">
        <v>24</v>
      </c>
      <c r="O16" s="13"/>
      <c r="P16" s="8"/>
      <c r="Q16" s="9"/>
      <c r="R16" s="1"/>
      <c r="S16" s="1"/>
      <c r="T16" s="1"/>
      <c r="U16" s="1"/>
      <c r="V16" s="1"/>
      <c r="W16" s="1"/>
    </row>
    <row r="17" spans="1:26" ht="15.75" x14ac:dyDescent="0.25">
      <c r="A17" s="4" t="s">
        <v>6</v>
      </c>
      <c r="B17" s="4" t="s">
        <v>7</v>
      </c>
      <c r="C17" s="4" t="s">
        <v>8</v>
      </c>
      <c r="D17" s="4" t="s">
        <v>19</v>
      </c>
      <c r="E17" s="4" t="s">
        <v>9</v>
      </c>
      <c r="F17" s="4" t="s">
        <v>20</v>
      </c>
      <c r="G17" s="4" t="s">
        <v>21</v>
      </c>
      <c r="H17" s="4" t="s">
        <v>1</v>
      </c>
      <c r="I17" s="4" t="s">
        <v>10</v>
      </c>
      <c r="J17" s="4" t="s">
        <v>25</v>
      </c>
      <c r="K17" s="4" t="s">
        <v>32</v>
      </c>
      <c r="L17" s="4" t="s">
        <v>32</v>
      </c>
      <c r="M17" s="4" t="s">
        <v>31</v>
      </c>
      <c r="N17" s="4" t="s">
        <v>11</v>
      </c>
      <c r="O17" s="4" t="s">
        <v>33</v>
      </c>
      <c r="P17" s="4" t="s">
        <v>12</v>
      </c>
      <c r="Q17" s="4" t="s">
        <v>13</v>
      </c>
      <c r="R17" s="4" t="s">
        <v>34</v>
      </c>
      <c r="S17" s="4" t="s">
        <v>35</v>
      </c>
      <c r="T17" s="4" t="s">
        <v>36</v>
      </c>
      <c r="U17" s="4" t="s">
        <v>0</v>
      </c>
      <c r="V17" s="4" t="s">
        <v>14</v>
      </c>
      <c r="W17" s="4" t="s">
        <v>15</v>
      </c>
    </row>
    <row r="18" spans="1:26" ht="15.75" x14ac:dyDescent="0.25">
      <c r="A18" s="2">
        <v>1</v>
      </c>
      <c r="B18" s="2" t="s">
        <v>18</v>
      </c>
      <c r="C18" s="2" t="s">
        <v>26</v>
      </c>
      <c r="D18" s="2" t="s">
        <v>2</v>
      </c>
      <c r="E18" s="2">
        <f>H16+100</f>
        <v>1240</v>
      </c>
      <c r="F18" s="2">
        <f>I16+80</f>
        <v>880</v>
      </c>
      <c r="G18" s="2"/>
      <c r="H18" s="2">
        <v>2</v>
      </c>
      <c r="I18" s="2"/>
      <c r="J18" s="15">
        <f>E18*F18*H18/304.8/304.8</f>
        <v>23.491158093427298</v>
      </c>
      <c r="K18" s="4">
        <f>I32*10%</f>
        <v>0.17544856147236354</v>
      </c>
      <c r="L18" s="4">
        <f>J32*10%</f>
        <v>3.3811595400968582</v>
      </c>
      <c r="M18" s="4">
        <v>33</v>
      </c>
      <c r="N18" s="4">
        <v>925</v>
      </c>
      <c r="O18" s="4">
        <v>7</v>
      </c>
      <c r="P18" s="4">
        <v>190</v>
      </c>
      <c r="Q18" s="4">
        <v>30</v>
      </c>
      <c r="R18" s="4">
        <v>20</v>
      </c>
      <c r="S18" s="4">
        <v>15</v>
      </c>
      <c r="T18" s="4">
        <v>5</v>
      </c>
      <c r="U18" s="4"/>
      <c r="V18" s="14">
        <v>0.13</v>
      </c>
      <c r="W18" s="4"/>
    </row>
    <row r="19" spans="1:26" ht="15.75" x14ac:dyDescent="0.25">
      <c r="A19" s="2">
        <v>2</v>
      </c>
      <c r="B19" s="2" t="s">
        <v>18</v>
      </c>
      <c r="C19" s="2" t="s">
        <v>26</v>
      </c>
      <c r="D19" s="2" t="s">
        <v>3</v>
      </c>
      <c r="E19" s="2">
        <f>H16+100</f>
        <v>1240</v>
      </c>
      <c r="F19" s="2">
        <f>J16+40</f>
        <v>235</v>
      </c>
      <c r="G19" s="2"/>
      <c r="H19" s="2">
        <v>2</v>
      </c>
      <c r="I19" s="2"/>
      <c r="J19" s="15">
        <f>E19*F19*H19/304.8/304.8</f>
        <v>6.2732069908584256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6" ht="15.75" x14ac:dyDescent="0.25">
      <c r="A20" s="2">
        <v>3</v>
      </c>
      <c r="B20" s="2" t="s">
        <v>18</v>
      </c>
      <c r="C20" s="2" t="s">
        <v>26</v>
      </c>
      <c r="D20" s="2" t="s">
        <v>4</v>
      </c>
      <c r="E20" s="2">
        <f>I16</f>
        <v>800</v>
      </c>
      <c r="F20" s="2">
        <f>J16+40</f>
        <v>235</v>
      </c>
      <c r="G20" s="2"/>
      <c r="H20" s="2">
        <v>2</v>
      </c>
      <c r="I20" s="2"/>
      <c r="J20" s="15">
        <f>E20*F20*H20/304.8/304.8</f>
        <v>4.0472303166828549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6" ht="15.75" x14ac:dyDescent="0.25">
      <c r="A21" s="2">
        <v>5</v>
      </c>
      <c r="B21" s="2" t="s">
        <v>18</v>
      </c>
      <c r="C21" s="2" t="s">
        <v>17</v>
      </c>
      <c r="D21" s="2" t="s">
        <v>16</v>
      </c>
      <c r="E21" s="2">
        <f>H16+100</f>
        <v>1240</v>
      </c>
      <c r="F21" s="2">
        <v>75</v>
      </c>
      <c r="G21" s="2">
        <v>19</v>
      </c>
      <c r="H21" s="2">
        <v>2</v>
      </c>
      <c r="I21" s="2">
        <f>E21*F21*G21*H21/304.8/304.8/304.8</f>
        <v>0.12480203219374067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6" ht="15.75" x14ac:dyDescent="0.25">
      <c r="A22" s="2">
        <v>6</v>
      </c>
      <c r="B22" s="2" t="s">
        <v>18</v>
      </c>
      <c r="C22" s="2" t="s">
        <v>17</v>
      </c>
      <c r="D22" s="2" t="s">
        <v>27</v>
      </c>
      <c r="E22" s="2">
        <f>I16+80</f>
        <v>880</v>
      </c>
      <c r="F22" s="2">
        <v>75</v>
      </c>
      <c r="G22" s="2">
        <v>19</v>
      </c>
      <c r="H22" s="2">
        <v>3</v>
      </c>
      <c r="I22" s="2">
        <f t="shared" ref="I22:I24" si="0">E22*F22*G22*H22/304.8/304.8/304.8</f>
        <v>0.13285377620624006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6" x14ac:dyDescent="0.25">
      <c r="A23" s="2">
        <v>6</v>
      </c>
      <c r="B23" s="2" t="s">
        <v>18</v>
      </c>
      <c r="C23" s="2" t="s">
        <v>17</v>
      </c>
      <c r="D23" s="2" t="s">
        <v>28</v>
      </c>
      <c r="E23" s="2">
        <f>H16+100</f>
        <v>1240</v>
      </c>
      <c r="F23" s="2">
        <v>75</v>
      </c>
      <c r="G23" s="2">
        <v>19</v>
      </c>
      <c r="H23" s="2">
        <v>5</v>
      </c>
      <c r="I23" s="2">
        <f t="shared" si="0"/>
        <v>0.31200508048435166</v>
      </c>
      <c r="J23" s="2"/>
      <c r="K23" s="2"/>
      <c r="L23" s="2"/>
      <c r="M23" s="2"/>
      <c r="N23" s="2"/>
      <c r="O23" s="2"/>
      <c r="P23" s="2"/>
      <c r="Q23" s="6"/>
      <c r="R23" s="6"/>
      <c r="S23" s="6"/>
      <c r="T23" s="6"/>
      <c r="U23" s="6"/>
      <c r="V23" s="7"/>
      <c r="W23" s="6"/>
    </row>
    <row r="24" spans="1:26" x14ac:dyDescent="0.25">
      <c r="A24" s="2">
        <v>3</v>
      </c>
      <c r="B24" s="2" t="s">
        <v>18</v>
      </c>
      <c r="C24" s="2" t="s">
        <v>17</v>
      </c>
      <c r="D24" s="2" t="s">
        <v>29</v>
      </c>
      <c r="E24" s="2">
        <f>I16+80</f>
        <v>880</v>
      </c>
      <c r="F24" s="2">
        <v>75</v>
      </c>
      <c r="G24" s="2">
        <v>19</v>
      </c>
      <c r="H24" s="2">
        <v>3</v>
      </c>
      <c r="I24" s="2">
        <f t="shared" si="0"/>
        <v>0.13285377620624006</v>
      </c>
      <c r="J24" s="2"/>
      <c r="K24" s="2"/>
      <c r="L24" s="2"/>
      <c r="M24" s="2"/>
      <c r="N24" s="2"/>
      <c r="O24" s="2"/>
      <c r="P24" s="2"/>
      <c r="Q24" s="6"/>
      <c r="R24" s="6"/>
      <c r="S24" s="6"/>
      <c r="T24" s="6"/>
      <c r="U24" s="6"/>
      <c r="V24" s="6"/>
      <c r="W24" s="6"/>
    </row>
    <row r="25" spans="1:26" x14ac:dyDescent="0.25">
      <c r="A25" s="2">
        <v>3</v>
      </c>
      <c r="B25" s="2" t="s">
        <v>18</v>
      </c>
      <c r="C25" s="2" t="s">
        <v>17</v>
      </c>
      <c r="D25" s="2" t="s">
        <v>29</v>
      </c>
      <c r="E25" s="2">
        <f>I16+80</f>
        <v>880</v>
      </c>
      <c r="F25" s="2">
        <v>75</v>
      </c>
      <c r="G25" s="2">
        <v>19</v>
      </c>
      <c r="H25" s="2">
        <v>3</v>
      </c>
      <c r="I25" s="2">
        <f t="shared" ref="I25" si="1">E25*F25*G25*H25/304.8/304.8/304.8</f>
        <v>0.13285377620624006</v>
      </c>
      <c r="J25" s="2"/>
      <c r="K25" s="2"/>
      <c r="L25" s="2"/>
      <c r="M25" s="2"/>
      <c r="N25" s="2"/>
      <c r="O25" s="2"/>
      <c r="P25" s="2"/>
      <c r="Q25" s="6"/>
      <c r="R25" s="6"/>
      <c r="S25" s="6"/>
      <c r="T25" s="6"/>
      <c r="U25" s="6"/>
      <c r="V25" s="6"/>
      <c r="W25" s="6"/>
    </row>
    <row r="26" spans="1:26" x14ac:dyDescent="0.25">
      <c r="A26" s="2">
        <v>6</v>
      </c>
      <c r="B26" s="2" t="s">
        <v>18</v>
      </c>
      <c r="C26" s="2" t="s">
        <v>17</v>
      </c>
      <c r="D26" s="2" t="s">
        <v>5</v>
      </c>
      <c r="E26" s="2">
        <f>H16+100</f>
        <v>1240</v>
      </c>
      <c r="F26" s="2">
        <v>75</v>
      </c>
      <c r="G26" s="2">
        <v>19</v>
      </c>
      <c r="H26" s="2">
        <v>4</v>
      </c>
      <c r="I26" s="2">
        <f t="shared" ref="I26" si="2">E26*F26*G26*H26/304.8/304.8/304.8</f>
        <v>0.24960406438748134</v>
      </c>
      <c r="J26" s="2"/>
      <c r="K26" s="2"/>
      <c r="L26" s="2"/>
      <c r="M26" s="2"/>
      <c r="N26" s="2"/>
      <c r="O26" s="2"/>
      <c r="P26" s="2"/>
      <c r="Q26" s="6"/>
      <c r="R26" s="6"/>
      <c r="S26" s="6"/>
      <c r="T26" s="6"/>
      <c r="U26" s="6"/>
      <c r="V26" s="6"/>
      <c r="W26" s="6"/>
    </row>
    <row r="27" spans="1:26" x14ac:dyDescent="0.25">
      <c r="A27" s="2">
        <v>6</v>
      </c>
      <c r="B27" s="2" t="s">
        <v>18</v>
      </c>
      <c r="C27" s="2" t="s">
        <v>17</v>
      </c>
      <c r="D27" s="2" t="s">
        <v>30</v>
      </c>
      <c r="E27" s="2">
        <f>J16+40</f>
        <v>235</v>
      </c>
      <c r="F27" s="2">
        <v>75</v>
      </c>
      <c r="G27" s="2">
        <v>19</v>
      </c>
      <c r="H27" s="2">
        <v>6</v>
      </c>
      <c r="I27" s="2">
        <f t="shared" ref="I27" si="3">E27*F27*G27*H27/304.8/304.8/304.8</f>
        <v>7.0955994110150938E-2</v>
      </c>
      <c r="J27" s="2"/>
      <c r="K27" s="2"/>
      <c r="L27" s="2"/>
      <c r="M27" s="2"/>
      <c r="N27" s="2"/>
      <c r="O27" s="2"/>
      <c r="P27" s="2"/>
      <c r="Q27" s="6"/>
      <c r="R27" s="6"/>
      <c r="S27" s="6"/>
      <c r="T27" s="6"/>
      <c r="U27" s="6"/>
      <c r="V27" s="6"/>
      <c r="W27" s="6"/>
      <c r="X27">
        <v>25.4</v>
      </c>
      <c r="Y27">
        <v>45</v>
      </c>
      <c r="Z27">
        <f>Y27*X27</f>
        <v>1143</v>
      </c>
    </row>
    <row r="28" spans="1:26" x14ac:dyDescent="0.25">
      <c r="A28" s="2">
        <v>6</v>
      </c>
      <c r="B28" s="2" t="s">
        <v>18</v>
      </c>
      <c r="C28" s="2" t="s">
        <v>17</v>
      </c>
      <c r="D28" s="2" t="s">
        <v>22</v>
      </c>
      <c r="E28" s="2">
        <f>I16</f>
        <v>800</v>
      </c>
      <c r="F28" s="2">
        <v>75</v>
      </c>
      <c r="G28" s="2">
        <v>19</v>
      </c>
      <c r="H28" s="2">
        <v>6</v>
      </c>
      <c r="I28" s="2">
        <f t="shared" ref="I28:I29" si="4">E28*F28*G28*H28/304.8/304.8/304.8</f>
        <v>0.24155232037498192</v>
      </c>
      <c r="J28" s="2"/>
      <c r="K28" s="2"/>
      <c r="L28" s="2"/>
      <c r="M28" s="2"/>
      <c r="N28" s="2"/>
      <c r="O28" s="2"/>
      <c r="P28" s="2"/>
      <c r="Q28" s="6"/>
      <c r="R28" s="6"/>
      <c r="S28" s="6"/>
      <c r="T28" s="6"/>
      <c r="U28" s="6"/>
      <c r="V28" s="6"/>
      <c r="W28" s="6"/>
    </row>
    <row r="29" spans="1:26" x14ac:dyDescent="0.25">
      <c r="A29" s="2">
        <v>4</v>
      </c>
      <c r="B29" s="2" t="s">
        <v>18</v>
      </c>
      <c r="C29" s="2" t="s">
        <v>17</v>
      </c>
      <c r="D29" s="2" t="s">
        <v>23</v>
      </c>
      <c r="E29" s="2">
        <f>J16+40</f>
        <v>235</v>
      </c>
      <c r="F29" s="2">
        <v>75</v>
      </c>
      <c r="G29" s="2">
        <v>19</v>
      </c>
      <c r="H29" s="2">
        <v>6</v>
      </c>
      <c r="I29" s="2">
        <f t="shared" si="4"/>
        <v>7.0955994110150938E-2</v>
      </c>
      <c r="J29" s="2"/>
      <c r="K29" s="2"/>
      <c r="L29" s="2"/>
      <c r="M29" s="2"/>
      <c r="N29" s="2"/>
      <c r="O29" s="2"/>
      <c r="P29" s="2"/>
      <c r="Q29" s="6"/>
      <c r="R29" s="6"/>
      <c r="S29" s="6"/>
      <c r="T29" s="6"/>
      <c r="U29" s="6"/>
      <c r="V29" s="6"/>
      <c r="W29" s="6"/>
    </row>
    <row r="30" spans="1:26" x14ac:dyDescent="0.25">
      <c r="A30" s="2">
        <v>6</v>
      </c>
      <c r="B30" s="2" t="s">
        <v>18</v>
      </c>
      <c r="C30" s="2" t="s">
        <v>17</v>
      </c>
      <c r="D30" s="2" t="s">
        <v>39</v>
      </c>
      <c r="E30" s="2">
        <v>100</v>
      </c>
      <c r="F30" s="2">
        <v>100</v>
      </c>
      <c r="G30" s="2">
        <v>90</v>
      </c>
      <c r="H30" s="2">
        <f>L16</f>
        <v>9</v>
      </c>
      <c r="I30" s="2">
        <f t="shared" ref="I30" si="5">E30*F30*G30*H30/304.8/304.8/304.8</f>
        <v>0.28604880044405756</v>
      </c>
      <c r="J30" s="2"/>
      <c r="K30" s="2"/>
      <c r="L30" s="2"/>
      <c r="M30" s="2"/>
      <c r="N30" s="2"/>
      <c r="O30" s="2"/>
      <c r="P30" s="2"/>
      <c r="Q30" s="6"/>
      <c r="R30" s="6"/>
      <c r="S30" s="6"/>
      <c r="T30" s="6"/>
      <c r="U30" s="6"/>
      <c r="V30" s="6"/>
      <c r="W30" s="6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6"/>
      <c r="R31" s="6"/>
      <c r="S31" s="6"/>
      <c r="T31" s="6"/>
      <c r="U31" s="6"/>
      <c r="V31" s="6"/>
      <c r="W31" s="6"/>
    </row>
    <row r="32" spans="1:26" ht="15.75" x14ac:dyDescent="0.25">
      <c r="A32" s="3"/>
      <c r="B32" s="3"/>
      <c r="C32" s="3"/>
      <c r="D32" s="3"/>
      <c r="E32" s="3"/>
      <c r="F32" s="3"/>
      <c r="G32" s="3"/>
      <c r="H32" s="3"/>
      <c r="I32" s="4">
        <f>SUM(I21:I31)</f>
        <v>1.7544856147236352</v>
      </c>
      <c r="J32" s="4">
        <f>SUM(J18:J31)</f>
        <v>33.811595400968578</v>
      </c>
      <c r="K32" s="4">
        <f>I32+K18</f>
        <v>1.9299341761959987</v>
      </c>
      <c r="L32" s="4">
        <f>J32+L18</f>
        <v>37.192754941065438</v>
      </c>
      <c r="M32" s="4">
        <f>L32*M18</f>
        <v>1227.3609130551595</v>
      </c>
      <c r="N32" s="4">
        <f>K32*N18</f>
        <v>1785.1891129812989</v>
      </c>
      <c r="O32" s="4">
        <f>L32*O18</f>
        <v>260.34928458745804</v>
      </c>
      <c r="P32" s="4">
        <f>K32*P18</f>
        <v>366.68749347723974</v>
      </c>
      <c r="Q32" s="4">
        <f>K32*Q18</f>
        <v>57.89802528587996</v>
      </c>
      <c r="R32" s="4">
        <f>K32*R18</f>
        <v>38.598683523919973</v>
      </c>
      <c r="S32" s="4">
        <f>K32*S18</f>
        <v>28.94901264293998</v>
      </c>
      <c r="T32" s="4">
        <f>K32*T18</f>
        <v>9.6496708809799934</v>
      </c>
      <c r="U32" s="4">
        <f>SUM(M32:T32)</f>
        <v>3774.6821964348765</v>
      </c>
      <c r="V32" s="4">
        <f>U32*V18</f>
        <v>490.70868553653395</v>
      </c>
      <c r="W32" s="5">
        <f>U32+V32</f>
        <v>4265.3908819714106</v>
      </c>
    </row>
    <row r="37" spans="1:23" ht="21" x14ac:dyDescent="0.35">
      <c r="H37" s="16">
        <f>H38/G38</f>
        <v>44.881889763779533</v>
      </c>
      <c r="I37" s="16">
        <f>I38/G38</f>
        <v>31.496062992125985</v>
      </c>
      <c r="J37" s="16">
        <f>J38/G38</f>
        <v>14.566929133858268</v>
      </c>
      <c r="K37" s="12" t="s">
        <v>37</v>
      </c>
      <c r="L37" s="11"/>
      <c r="M37" s="11"/>
      <c r="N37" s="11"/>
      <c r="O37" s="11"/>
    </row>
    <row r="38" spans="1:23" ht="18.75" x14ac:dyDescent="0.3">
      <c r="A38" s="1">
        <v>2</v>
      </c>
      <c r="B38" s="1"/>
      <c r="C38" s="1"/>
      <c r="D38" s="1"/>
      <c r="E38" s="1"/>
      <c r="F38" s="1"/>
      <c r="G38" s="1">
        <v>25.4</v>
      </c>
      <c r="H38" s="10">
        <v>1140</v>
      </c>
      <c r="I38" s="10">
        <v>800</v>
      </c>
      <c r="J38" s="10">
        <v>370</v>
      </c>
      <c r="K38" s="10" t="s">
        <v>24</v>
      </c>
      <c r="L38" s="10">
        <v>9</v>
      </c>
      <c r="M38" s="10" t="s">
        <v>38</v>
      </c>
      <c r="N38" s="10" t="s">
        <v>24</v>
      </c>
      <c r="O38" s="13"/>
      <c r="P38" s="8"/>
      <c r="Q38" s="9"/>
      <c r="R38" s="1"/>
      <c r="S38" s="1"/>
      <c r="T38" s="1"/>
      <c r="U38" s="1"/>
      <c r="V38" s="1"/>
      <c r="W38" s="1"/>
    </row>
    <row r="39" spans="1:23" ht="15.75" x14ac:dyDescent="0.25">
      <c r="A39" s="4" t="s">
        <v>6</v>
      </c>
      <c r="B39" s="4" t="s">
        <v>7</v>
      </c>
      <c r="C39" s="4" t="s">
        <v>8</v>
      </c>
      <c r="D39" s="4" t="s">
        <v>19</v>
      </c>
      <c r="E39" s="4" t="s">
        <v>9</v>
      </c>
      <c r="F39" s="4" t="s">
        <v>20</v>
      </c>
      <c r="G39" s="4" t="s">
        <v>21</v>
      </c>
      <c r="H39" s="4" t="s">
        <v>1</v>
      </c>
      <c r="I39" s="4" t="s">
        <v>10</v>
      </c>
      <c r="J39" s="4" t="s">
        <v>25</v>
      </c>
      <c r="K39" s="4" t="s">
        <v>32</v>
      </c>
      <c r="L39" s="4" t="s">
        <v>32</v>
      </c>
      <c r="M39" s="4" t="s">
        <v>31</v>
      </c>
      <c r="N39" s="4" t="s">
        <v>11</v>
      </c>
      <c r="O39" s="4" t="s">
        <v>33</v>
      </c>
      <c r="P39" s="4" t="s">
        <v>12</v>
      </c>
      <c r="Q39" s="4" t="s">
        <v>13</v>
      </c>
      <c r="R39" s="4" t="s">
        <v>34</v>
      </c>
      <c r="S39" s="4" t="s">
        <v>35</v>
      </c>
      <c r="T39" s="4" t="s">
        <v>36</v>
      </c>
      <c r="U39" s="4" t="s">
        <v>0</v>
      </c>
      <c r="V39" s="4" t="s">
        <v>14</v>
      </c>
      <c r="W39" s="4" t="s">
        <v>15</v>
      </c>
    </row>
    <row r="40" spans="1:23" ht="15.75" x14ac:dyDescent="0.25">
      <c r="A40" s="2">
        <v>1</v>
      </c>
      <c r="B40" s="2" t="s">
        <v>18</v>
      </c>
      <c r="C40" s="2" t="s">
        <v>26</v>
      </c>
      <c r="D40" s="2" t="s">
        <v>2</v>
      </c>
      <c r="E40" s="2">
        <f>H38+100</f>
        <v>1240</v>
      </c>
      <c r="F40" s="2">
        <f>I38+80</f>
        <v>880</v>
      </c>
      <c r="G40" s="2"/>
      <c r="H40" s="2">
        <v>2</v>
      </c>
      <c r="I40" s="2"/>
      <c r="J40" s="15">
        <f>E40*F40*H40/304.8/304.8</f>
        <v>23.491158093427298</v>
      </c>
      <c r="K40" s="4">
        <f>I55*10%</f>
        <v>0.16840328546142655</v>
      </c>
      <c r="L40" s="4">
        <f>J55*10%</f>
        <v>4.1497027438499323</v>
      </c>
      <c r="M40" s="4">
        <v>33</v>
      </c>
      <c r="N40" s="4">
        <v>925</v>
      </c>
      <c r="O40" s="4">
        <v>7</v>
      </c>
      <c r="P40" s="4">
        <v>190</v>
      </c>
      <c r="Q40" s="4">
        <v>30</v>
      </c>
      <c r="R40" s="4">
        <v>20</v>
      </c>
      <c r="S40" s="4">
        <v>15</v>
      </c>
      <c r="T40" s="4">
        <v>5</v>
      </c>
      <c r="U40" s="4"/>
      <c r="V40" s="14">
        <v>0.15</v>
      </c>
      <c r="W40" s="4"/>
    </row>
    <row r="41" spans="1:23" ht="15.75" x14ac:dyDescent="0.25">
      <c r="A41" s="2">
        <v>2</v>
      </c>
      <c r="B41" s="2" t="s">
        <v>18</v>
      </c>
      <c r="C41" s="2" t="s">
        <v>26</v>
      </c>
      <c r="D41" s="2" t="s">
        <v>3</v>
      </c>
      <c r="E41" s="2">
        <f>H38+100</f>
        <v>1240</v>
      </c>
      <c r="F41" s="2">
        <f>J38+40</f>
        <v>410</v>
      </c>
      <c r="G41" s="2"/>
      <c r="H41" s="2">
        <v>2</v>
      </c>
      <c r="I41" s="2"/>
      <c r="J41" s="15">
        <f>E41*F41*H41/304.8/304.8</f>
        <v>10.944744111710445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x14ac:dyDescent="0.25">
      <c r="A42" s="2">
        <v>3</v>
      </c>
      <c r="B42" s="2" t="s">
        <v>18</v>
      </c>
      <c r="C42" s="2" t="s">
        <v>26</v>
      </c>
      <c r="D42" s="2" t="s">
        <v>4</v>
      </c>
      <c r="E42" s="2">
        <f>I38</f>
        <v>800</v>
      </c>
      <c r="F42" s="2">
        <f>J38+40</f>
        <v>410</v>
      </c>
      <c r="G42" s="2"/>
      <c r="H42" s="2">
        <v>2</v>
      </c>
      <c r="I42" s="2"/>
      <c r="J42" s="15">
        <f>E42*F42*H42/304.8/304.8</f>
        <v>7.0611252333615777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x14ac:dyDescent="0.25">
      <c r="A43" s="2">
        <v>5</v>
      </c>
      <c r="B43" s="2" t="s">
        <v>18</v>
      </c>
      <c r="C43" s="2" t="s">
        <v>17</v>
      </c>
      <c r="D43" s="2" t="s">
        <v>16</v>
      </c>
      <c r="E43" s="2">
        <f>H38+100</f>
        <v>1240</v>
      </c>
      <c r="F43" s="2">
        <v>75</v>
      </c>
      <c r="G43" s="2">
        <v>19</v>
      </c>
      <c r="H43" s="2">
        <v>2</v>
      </c>
      <c r="I43" s="2">
        <f t="shared" ref="I43:I53" si="6">E43*F43*G43*H43/304.8/304.8/304.8</f>
        <v>0.12480203219374067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x14ac:dyDescent="0.25">
      <c r="A44" s="2">
        <v>6</v>
      </c>
      <c r="B44" s="2" t="s">
        <v>18</v>
      </c>
      <c r="C44" s="2" t="s">
        <v>17</v>
      </c>
      <c r="D44" s="2" t="s">
        <v>27</v>
      </c>
      <c r="E44" s="2">
        <f>I38+80</f>
        <v>880</v>
      </c>
      <c r="F44" s="2">
        <v>75</v>
      </c>
      <c r="G44" s="2">
        <v>19</v>
      </c>
      <c r="H44" s="2">
        <v>3</v>
      </c>
      <c r="I44" s="2">
        <f t="shared" si="6"/>
        <v>0.13285377620624006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x14ac:dyDescent="0.25">
      <c r="A45" s="2">
        <v>6</v>
      </c>
      <c r="B45" s="2" t="s">
        <v>18</v>
      </c>
      <c r="C45" s="2" t="s">
        <v>17</v>
      </c>
      <c r="D45" s="2" t="s">
        <v>28</v>
      </c>
      <c r="E45" s="2">
        <f>H38+100</f>
        <v>1240</v>
      </c>
      <c r="F45" s="2">
        <v>75</v>
      </c>
      <c r="G45" s="2">
        <v>19</v>
      </c>
      <c r="H45" s="2">
        <v>2</v>
      </c>
      <c r="I45" s="2">
        <f t="shared" si="6"/>
        <v>0.12480203219374067</v>
      </c>
      <c r="J45" s="2"/>
      <c r="K45" s="2"/>
      <c r="L45" s="2"/>
      <c r="M45" s="2"/>
      <c r="N45" s="2"/>
      <c r="O45" s="2"/>
      <c r="P45" s="2"/>
      <c r="Q45" s="6"/>
      <c r="R45" s="6"/>
      <c r="S45" s="6"/>
      <c r="T45" s="6"/>
      <c r="U45" s="6"/>
      <c r="V45" s="7"/>
      <c r="W45" s="6"/>
    </row>
    <row r="46" spans="1:23" x14ac:dyDescent="0.25">
      <c r="A46" s="2">
        <v>6</v>
      </c>
      <c r="B46" s="2" t="s">
        <v>18</v>
      </c>
      <c r="C46" s="2" t="s">
        <v>17</v>
      </c>
      <c r="D46" s="2" t="s">
        <v>28</v>
      </c>
      <c r="E46" s="2">
        <f>I38+80</f>
        <v>880</v>
      </c>
      <c r="F46" s="2">
        <v>75</v>
      </c>
      <c r="G46" s="2">
        <v>19</v>
      </c>
      <c r="H46" s="2">
        <v>3</v>
      </c>
      <c r="I46" s="2">
        <f t="shared" si="6"/>
        <v>0.13285377620624006</v>
      </c>
      <c r="J46" s="2"/>
      <c r="K46" s="2"/>
      <c r="L46" s="2"/>
      <c r="M46" s="2"/>
      <c r="N46" s="2"/>
      <c r="O46" s="2"/>
      <c r="P46" s="2"/>
      <c r="Q46" s="6"/>
      <c r="R46" s="6"/>
      <c r="S46" s="6"/>
      <c r="T46" s="6"/>
      <c r="U46" s="6"/>
      <c r="V46" s="6"/>
      <c r="W46" s="6"/>
    </row>
    <row r="47" spans="1:23" x14ac:dyDescent="0.25">
      <c r="A47" s="2">
        <v>3</v>
      </c>
      <c r="B47" s="2" t="s">
        <v>18</v>
      </c>
      <c r="C47" s="2" t="s">
        <v>17</v>
      </c>
      <c r="D47" s="2" t="s">
        <v>29</v>
      </c>
      <c r="E47" s="2">
        <f>I38+80</f>
        <v>880</v>
      </c>
      <c r="F47" s="2">
        <v>75</v>
      </c>
      <c r="G47" s="2">
        <v>19</v>
      </c>
      <c r="H47" s="2">
        <v>3</v>
      </c>
      <c r="I47" s="2">
        <f t="shared" ref="I47" si="7">E47*F47*G47*H47/304.8/304.8/304.8</f>
        <v>0.13285377620624006</v>
      </c>
      <c r="J47" s="2"/>
      <c r="K47" s="2"/>
      <c r="L47" s="2"/>
      <c r="M47" s="2"/>
      <c r="N47" s="2"/>
      <c r="O47" s="2"/>
      <c r="P47" s="2"/>
      <c r="Q47" s="6"/>
      <c r="R47" s="6"/>
      <c r="S47" s="6"/>
      <c r="T47" s="6"/>
      <c r="U47" s="6"/>
      <c r="V47" s="6"/>
      <c r="W47" s="6"/>
    </row>
    <row r="48" spans="1:23" x14ac:dyDescent="0.25">
      <c r="A48" s="2">
        <v>3</v>
      </c>
      <c r="B48" s="2" t="s">
        <v>18</v>
      </c>
      <c r="C48" s="2" t="s">
        <v>17</v>
      </c>
      <c r="D48" s="2" t="s">
        <v>29</v>
      </c>
      <c r="E48" s="2">
        <f>I38+80</f>
        <v>880</v>
      </c>
      <c r="F48" s="2">
        <v>75</v>
      </c>
      <c r="G48" s="2">
        <v>19</v>
      </c>
      <c r="H48" s="2">
        <v>3</v>
      </c>
      <c r="I48" s="2">
        <f t="shared" si="6"/>
        <v>0.13285377620624006</v>
      </c>
      <c r="J48" s="2"/>
      <c r="K48" s="2"/>
      <c r="L48" s="2"/>
      <c r="M48" s="2"/>
      <c r="N48" s="2"/>
      <c r="O48" s="2"/>
      <c r="P48" s="2"/>
      <c r="Q48" s="6"/>
      <c r="R48" s="6"/>
      <c r="S48" s="6"/>
      <c r="T48" s="6"/>
      <c r="U48" s="6"/>
      <c r="V48" s="6"/>
      <c r="W48" s="6"/>
    </row>
    <row r="49" spans="1:23" x14ac:dyDescent="0.25">
      <c r="A49" s="2">
        <v>6</v>
      </c>
      <c r="B49" s="2" t="s">
        <v>18</v>
      </c>
      <c r="C49" s="2" t="s">
        <v>17</v>
      </c>
      <c r="D49" s="2" t="s">
        <v>5</v>
      </c>
      <c r="E49" s="2">
        <f>H38+100</f>
        <v>1240</v>
      </c>
      <c r="F49" s="2">
        <v>75</v>
      </c>
      <c r="G49" s="2">
        <v>19</v>
      </c>
      <c r="H49" s="2">
        <v>4</v>
      </c>
      <c r="I49" s="2">
        <f t="shared" si="6"/>
        <v>0.24960406438748134</v>
      </c>
      <c r="J49" s="2"/>
      <c r="K49" s="2"/>
      <c r="L49" s="2"/>
      <c r="M49" s="2"/>
      <c r="N49" s="2"/>
      <c r="O49" s="2"/>
      <c r="P49" s="2"/>
      <c r="Q49" s="6"/>
      <c r="R49" s="6"/>
      <c r="S49" s="6"/>
      <c r="T49" s="6"/>
      <c r="U49" s="6"/>
      <c r="V49" s="6"/>
      <c r="W49" s="6"/>
    </row>
    <row r="50" spans="1:23" x14ac:dyDescent="0.25">
      <c r="A50" s="2">
        <v>6</v>
      </c>
      <c r="B50" s="2" t="s">
        <v>18</v>
      </c>
      <c r="C50" s="2" t="s">
        <v>17</v>
      </c>
      <c r="D50" s="2" t="s">
        <v>30</v>
      </c>
      <c r="E50" s="2">
        <f>J38+40</f>
        <v>410</v>
      </c>
      <c r="F50" s="2">
        <v>75</v>
      </c>
      <c r="G50" s="2">
        <v>19</v>
      </c>
      <c r="H50" s="2">
        <v>6</v>
      </c>
      <c r="I50" s="2">
        <f t="shared" si="6"/>
        <v>0.12379556419217824</v>
      </c>
      <c r="J50" s="2"/>
      <c r="K50" s="2"/>
      <c r="L50" s="2"/>
      <c r="M50" s="2"/>
      <c r="N50" s="2"/>
      <c r="O50" s="2"/>
      <c r="P50" s="2"/>
      <c r="Q50" s="6"/>
      <c r="R50" s="6"/>
      <c r="S50" s="6"/>
      <c r="T50" s="6"/>
      <c r="U50" s="6"/>
      <c r="V50" s="6"/>
      <c r="W50" s="6"/>
    </row>
    <row r="51" spans="1:23" x14ac:dyDescent="0.25">
      <c r="A51" s="2">
        <v>6</v>
      </c>
      <c r="B51" s="2" t="s">
        <v>18</v>
      </c>
      <c r="C51" s="2" t="s">
        <v>17</v>
      </c>
      <c r="D51" s="2" t="s">
        <v>22</v>
      </c>
      <c r="E51" s="2">
        <f>I38</f>
        <v>800</v>
      </c>
      <c r="F51" s="2">
        <v>75</v>
      </c>
      <c r="G51" s="2">
        <v>19</v>
      </c>
      <c r="H51" s="2">
        <v>4</v>
      </c>
      <c r="I51" s="2">
        <f t="shared" si="6"/>
        <v>0.16103488024998797</v>
      </c>
      <c r="J51" s="2"/>
      <c r="K51" s="2"/>
      <c r="L51" s="2"/>
      <c r="M51" s="2"/>
      <c r="N51" s="2"/>
      <c r="O51" s="2"/>
      <c r="P51" s="2"/>
      <c r="Q51" s="6"/>
      <c r="R51" s="6"/>
      <c r="S51" s="6"/>
      <c r="T51" s="6"/>
      <c r="U51" s="6"/>
      <c r="V51" s="6"/>
      <c r="W51" s="6"/>
    </row>
    <row r="52" spans="1:23" x14ac:dyDescent="0.25">
      <c r="A52" s="2">
        <v>4</v>
      </c>
      <c r="B52" s="2" t="s">
        <v>18</v>
      </c>
      <c r="C52" s="2" t="s">
        <v>17</v>
      </c>
      <c r="D52" s="2" t="s">
        <v>23</v>
      </c>
      <c r="E52" s="2">
        <f>J38+40</f>
        <v>410</v>
      </c>
      <c r="F52" s="2">
        <v>75</v>
      </c>
      <c r="G52" s="2">
        <v>19</v>
      </c>
      <c r="H52" s="2">
        <v>4</v>
      </c>
      <c r="I52" s="2">
        <f t="shared" si="6"/>
        <v>8.2530376128118824E-2</v>
      </c>
      <c r="J52" s="2"/>
      <c r="K52" s="2"/>
      <c r="L52" s="2"/>
      <c r="M52" s="2"/>
      <c r="N52" s="2"/>
      <c r="O52" s="2"/>
      <c r="P52" s="2"/>
      <c r="Q52" s="6"/>
      <c r="R52" s="6"/>
      <c r="S52" s="6"/>
      <c r="T52" s="6"/>
      <c r="U52" s="6"/>
      <c r="V52" s="6"/>
      <c r="W52" s="6"/>
    </row>
    <row r="53" spans="1:23" x14ac:dyDescent="0.25">
      <c r="A53" s="2">
        <v>6</v>
      </c>
      <c r="B53" s="2" t="s">
        <v>18</v>
      </c>
      <c r="C53" s="2" t="s">
        <v>17</v>
      </c>
      <c r="D53" s="2" t="s">
        <v>22</v>
      </c>
      <c r="E53" s="2">
        <v>100</v>
      </c>
      <c r="F53" s="2">
        <v>100</v>
      </c>
      <c r="G53" s="2">
        <v>90</v>
      </c>
      <c r="H53" s="2">
        <f>L38</f>
        <v>9</v>
      </c>
      <c r="I53" s="2">
        <f t="shared" si="6"/>
        <v>0.28604880044405756</v>
      </c>
      <c r="J53" s="2"/>
      <c r="K53" s="2"/>
      <c r="L53" s="2"/>
      <c r="M53" s="2"/>
      <c r="N53" s="2"/>
      <c r="O53" s="2"/>
      <c r="P53" s="2"/>
      <c r="Q53" s="6"/>
      <c r="R53" s="6"/>
      <c r="S53" s="6"/>
      <c r="T53" s="6"/>
      <c r="U53" s="6"/>
      <c r="V53" s="6"/>
      <c r="W53" s="6"/>
    </row>
    <row r="54" spans="1:2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6"/>
      <c r="R54" s="6"/>
      <c r="S54" s="6"/>
      <c r="T54" s="6"/>
      <c r="U54" s="6"/>
      <c r="V54" s="6"/>
      <c r="W54" s="6"/>
    </row>
    <row r="55" spans="1:23" ht="15.75" x14ac:dyDescent="0.25">
      <c r="A55" s="3"/>
      <c r="B55" s="3"/>
      <c r="C55" s="3"/>
      <c r="D55" s="3"/>
      <c r="E55" s="3"/>
      <c r="F55" s="3"/>
      <c r="G55" s="3"/>
      <c r="H55" s="3"/>
      <c r="I55" s="4">
        <f>SUM(I43:I54)</f>
        <v>1.6840328546142653</v>
      </c>
      <c r="J55" s="4">
        <f>SUM(J40:J54)</f>
        <v>41.497027438499323</v>
      </c>
      <c r="K55" s="4">
        <f>I55+K40</f>
        <v>1.8524361400756919</v>
      </c>
      <c r="L55" s="4">
        <f>J55+L40</f>
        <v>45.646730182349259</v>
      </c>
      <c r="M55" s="4">
        <f>L55*M40</f>
        <v>1506.3420960175256</v>
      </c>
      <c r="N55" s="4">
        <f>K55*N40</f>
        <v>1713.503429570015</v>
      </c>
      <c r="O55" s="4">
        <f>L55*O40</f>
        <v>319.52711127644483</v>
      </c>
      <c r="P55" s="4">
        <f>K55*P40</f>
        <v>351.96286661438148</v>
      </c>
      <c r="Q55" s="4">
        <f>K55*Q40</f>
        <v>55.573084202270756</v>
      </c>
      <c r="R55" s="4">
        <f>K55*R40</f>
        <v>37.04872280151384</v>
      </c>
      <c r="S55" s="4">
        <f>K55*S40</f>
        <v>27.786542101135378</v>
      </c>
      <c r="T55" s="4">
        <f>K55*T40</f>
        <v>9.26218070037846</v>
      </c>
      <c r="U55" s="4">
        <f>SUM(M55:T55)</f>
        <v>4021.0060332836656</v>
      </c>
      <c r="V55" s="4">
        <f>U55*V40</f>
        <v>603.15090499254984</v>
      </c>
      <c r="W55" s="5">
        <f>U55+V55</f>
        <v>4624.1569382762154</v>
      </c>
    </row>
    <row r="61" spans="1:23" ht="21" x14ac:dyDescent="0.35">
      <c r="H61" s="16">
        <f>H62/G62</f>
        <v>60.629921259842526</v>
      </c>
      <c r="I61" s="16">
        <f>I62/G62</f>
        <v>23.228346456692915</v>
      </c>
      <c r="J61" s="16">
        <f>J62/G62</f>
        <v>39.370078740157481</v>
      </c>
      <c r="K61" s="12" t="s">
        <v>37</v>
      </c>
      <c r="L61" s="11"/>
      <c r="M61" s="11"/>
      <c r="N61" s="11"/>
      <c r="O61" s="11"/>
    </row>
    <row r="62" spans="1:23" ht="18.75" x14ac:dyDescent="0.3">
      <c r="A62" s="1">
        <v>3</v>
      </c>
      <c r="B62" s="1"/>
      <c r="C62" s="1"/>
      <c r="D62" s="1"/>
      <c r="E62" s="1"/>
      <c r="F62" s="1"/>
      <c r="G62" s="1">
        <v>25.4</v>
      </c>
      <c r="H62" s="10">
        <v>1540</v>
      </c>
      <c r="I62" s="10">
        <v>590</v>
      </c>
      <c r="J62" s="10">
        <v>1000</v>
      </c>
      <c r="K62" s="10" t="s">
        <v>24</v>
      </c>
      <c r="L62" s="10">
        <v>12</v>
      </c>
      <c r="M62" s="10" t="s">
        <v>38</v>
      </c>
      <c r="N62" s="10" t="s">
        <v>24</v>
      </c>
      <c r="O62" s="13"/>
      <c r="P62" s="8"/>
      <c r="Q62" s="9"/>
      <c r="R62" s="1"/>
      <c r="S62" s="1"/>
      <c r="T62" s="1"/>
      <c r="U62" s="1"/>
      <c r="V62" s="1"/>
      <c r="W62" s="1"/>
    </row>
    <row r="63" spans="1:23" ht="15.75" x14ac:dyDescent="0.25">
      <c r="A63" s="4" t="s">
        <v>6</v>
      </c>
      <c r="B63" s="4" t="s">
        <v>7</v>
      </c>
      <c r="C63" s="4" t="s">
        <v>8</v>
      </c>
      <c r="D63" s="4" t="s">
        <v>19</v>
      </c>
      <c r="E63" s="4" t="s">
        <v>9</v>
      </c>
      <c r="F63" s="4" t="s">
        <v>20</v>
      </c>
      <c r="G63" s="4" t="s">
        <v>21</v>
      </c>
      <c r="H63" s="4" t="s">
        <v>1</v>
      </c>
      <c r="I63" s="4" t="s">
        <v>10</v>
      </c>
      <c r="J63" s="4" t="s">
        <v>25</v>
      </c>
      <c r="K63" s="4" t="s">
        <v>32</v>
      </c>
      <c r="L63" s="4" t="s">
        <v>32</v>
      </c>
      <c r="M63" s="4" t="s">
        <v>31</v>
      </c>
      <c r="N63" s="4" t="s">
        <v>11</v>
      </c>
      <c r="O63" s="4" t="s">
        <v>33</v>
      </c>
      <c r="P63" s="4" t="s">
        <v>12</v>
      </c>
      <c r="Q63" s="4" t="s">
        <v>13</v>
      </c>
      <c r="R63" s="4" t="s">
        <v>34</v>
      </c>
      <c r="S63" s="4" t="s">
        <v>35</v>
      </c>
      <c r="T63" s="4" t="s">
        <v>36</v>
      </c>
      <c r="U63" s="4" t="s">
        <v>0</v>
      </c>
      <c r="V63" s="4" t="s">
        <v>14</v>
      </c>
      <c r="W63" s="4" t="s">
        <v>15</v>
      </c>
    </row>
    <row r="64" spans="1:23" ht="15.75" x14ac:dyDescent="0.25">
      <c r="A64" s="2">
        <v>1</v>
      </c>
      <c r="B64" s="2" t="s">
        <v>18</v>
      </c>
      <c r="C64" s="2" t="s">
        <v>26</v>
      </c>
      <c r="D64" s="2" t="s">
        <v>2</v>
      </c>
      <c r="E64" s="2">
        <f>H62+100</f>
        <v>1640</v>
      </c>
      <c r="F64" s="2">
        <f>I62+80</f>
        <v>670</v>
      </c>
      <c r="G64" s="2"/>
      <c r="H64" s="2">
        <v>2</v>
      </c>
      <c r="I64" s="2"/>
      <c r="J64" s="15">
        <f>E64*F64*H64/304.8/304.8</f>
        <v>23.654769531761282</v>
      </c>
      <c r="K64" s="4">
        <f>I79*10%</f>
        <v>0.30170026073502132</v>
      </c>
      <c r="L64" s="4">
        <f>J79*10%</f>
        <v>7.3582091608627653</v>
      </c>
      <c r="M64" s="4">
        <v>38</v>
      </c>
      <c r="N64" s="4">
        <v>925</v>
      </c>
      <c r="O64" s="4">
        <v>10</v>
      </c>
      <c r="P64" s="4">
        <v>200</v>
      </c>
      <c r="Q64" s="4">
        <v>30</v>
      </c>
      <c r="R64" s="4">
        <v>20</v>
      </c>
      <c r="S64" s="4">
        <v>15</v>
      </c>
      <c r="T64" s="4">
        <v>10</v>
      </c>
      <c r="U64" s="4"/>
      <c r="V64" s="14">
        <v>0.15</v>
      </c>
      <c r="W64" s="4"/>
    </row>
    <row r="65" spans="1:23" ht="15.75" x14ac:dyDescent="0.25">
      <c r="A65" s="2">
        <v>2</v>
      </c>
      <c r="B65" s="2" t="s">
        <v>18</v>
      </c>
      <c r="C65" s="2" t="s">
        <v>26</v>
      </c>
      <c r="D65" s="2" t="s">
        <v>3</v>
      </c>
      <c r="E65" s="2">
        <f>H62+100</f>
        <v>1640</v>
      </c>
      <c r="F65" s="2">
        <f>J62+40</f>
        <v>1040</v>
      </c>
      <c r="G65" s="2"/>
      <c r="H65" s="2">
        <v>2</v>
      </c>
      <c r="I65" s="2"/>
      <c r="J65" s="15">
        <f>E65*F65*H65/304.8/304.8</f>
        <v>36.717851213480202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5.75" x14ac:dyDescent="0.25">
      <c r="A66" s="2">
        <v>3</v>
      </c>
      <c r="B66" s="2" t="s">
        <v>18</v>
      </c>
      <c r="C66" s="2" t="s">
        <v>26</v>
      </c>
      <c r="D66" s="2" t="s">
        <v>4</v>
      </c>
      <c r="E66" s="2">
        <f>I62</f>
        <v>590</v>
      </c>
      <c r="F66" s="2">
        <f>J62+40</f>
        <v>1040</v>
      </c>
      <c r="G66" s="2"/>
      <c r="H66" s="2">
        <v>2</v>
      </c>
      <c r="I66" s="2"/>
      <c r="J66" s="15">
        <f>E66*F66*H66/304.8/304.8</f>
        <v>13.209470863386171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5.75" x14ac:dyDescent="0.25">
      <c r="A67" s="2">
        <v>5</v>
      </c>
      <c r="B67" s="2" t="s">
        <v>18</v>
      </c>
      <c r="C67" s="2" t="s">
        <v>17</v>
      </c>
      <c r="D67" s="2" t="s">
        <v>16</v>
      </c>
      <c r="E67" s="2">
        <f>H62+100</f>
        <v>1640</v>
      </c>
      <c r="F67" s="2">
        <v>100</v>
      </c>
      <c r="G67" s="2">
        <v>19</v>
      </c>
      <c r="H67" s="2">
        <v>2</v>
      </c>
      <c r="I67" s="2">
        <f t="shared" ref="I67:I77" si="8">E67*F67*G67*H67/304.8/304.8/304.8</f>
        <v>0.22008100300831687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15.75" x14ac:dyDescent="0.25">
      <c r="A68" s="2">
        <v>6</v>
      </c>
      <c r="B68" s="2" t="s">
        <v>18</v>
      </c>
      <c r="C68" s="2" t="s">
        <v>17</v>
      </c>
      <c r="D68" s="2" t="s">
        <v>27</v>
      </c>
      <c r="E68" s="2">
        <f>I62+80</f>
        <v>670</v>
      </c>
      <c r="F68" s="2">
        <v>100</v>
      </c>
      <c r="G68" s="2">
        <v>19</v>
      </c>
      <c r="H68" s="2">
        <v>4</v>
      </c>
      <c r="I68" s="2">
        <f t="shared" si="8"/>
        <v>0.17982228294581987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x14ac:dyDescent="0.25">
      <c r="A69" s="2">
        <v>6</v>
      </c>
      <c r="B69" s="2" t="s">
        <v>18</v>
      </c>
      <c r="C69" s="2" t="s">
        <v>17</v>
      </c>
      <c r="D69" s="2" t="s">
        <v>28</v>
      </c>
      <c r="E69" s="2">
        <f>H62+100</f>
        <v>1640</v>
      </c>
      <c r="F69" s="2">
        <v>100</v>
      </c>
      <c r="G69" s="2">
        <v>19</v>
      </c>
      <c r="H69" s="2">
        <v>4</v>
      </c>
      <c r="I69" s="2">
        <f t="shared" si="8"/>
        <v>0.44016200601663374</v>
      </c>
      <c r="J69" s="2"/>
      <c r="K69" s="2"/>
      <c r="L69" s="2"/>
      <c r="M69" s="2"/>
      <c r="N69" s="2"/>
      <c r="O69" s="2"/>
      <c r="P69" s="2"/>
      <c r="Q69" s="6"/>
      <c r="R69" s="6"/>
      <c r="S69" s="6"/>
      <c r="T69" s="6"/>
      <c r="U69" s="6"/>
      <c r="V69" s="7"/>
      <c r="W69" s="6"/>
    </row>
    <row r="70" spans="1:23" x14ac:dyDescent="0.25">
      <c r="A70" s="2">
        <v>6</v>
      </c>
      <c r="B70" s="2" t="s">
        <v>18</v>
      </c>
      <c r="C70" s="2" t="s">
        <v>17</v>
      </c>
      <c r="D70" s="2" t="s">
        <v>28</v>
      </c>
      <c r="E70" s="2">
        <f>I62+80</f>
        <v>670</v>
      </c>
      <c r="F70" s="2">
        <v>100</v>
      </c>
      <c r="G70" s="2">
        <v>19</v>
      </c>
      <c r="H70" s="2">
        <v>4</v>
      </c>
      <c r="I70" s="2">
        <f t="shared" si="8"/>
        <v>0.17982228294581987</v>
      </c>
      <c r="J70" s="2"/>
      <c r="K70" s="2"/>
      <c r="L70" s="2"/>
      <c r="M70" s="2"/>
      <c r="N70" s="2"/>
      <c r="O70" s="2"/>
      <c r="P70" s="2"/>
      <c r="Q70" s="6"/>
      <c r="R70" s="6"/>
      <c r="S70" s="6"/>
      <c r="T70" s="6"/>
      <c r="U70" s="6"/>
      <c r="V70" s="6"/>
      <c r="W70" s="6"/>
    </row>
    <row r="71" spans="1:23" x14ac:dyDescent="0.25">
      <c r="A71" s="2">
        <v>3</v>
      </c>
      <c r="B71" s="2" t="s">
        <v>18</v>
      </c>
      <c r="C71" s="2" t="s">
        <v>17</v>
      </c>
      <c r="D71" s="2" t="s">
        <v>29</v>
      </c>
      <c r="E71" s="2">
        <f>I62+80</f>
        <v>670</v>
      </c>
      <c r="F71" s="2">
        <v>100</v>
      </c>
      <c r="G71" s="2">
        <v>19</v>
      </c>
      <c r="H71" s="2">
        <v>4</v>
      </c>
      <c r="I71" s="2">
        <f t="shared" ref="I71" si="9">E71*F71*G71*H71/304.8/304.8/304.8</f>
        <v>0.17982228294581987</v>
      </c>
      <c r="J71" s="2"/>
      <c r="K71" s="2"/>
      <c r="L71" s="2"/>
      <c r="M71" s="2"/>
      <c r="N71" s="2"/>
      <c r="O71" s="2"/>
      <c r="P71" s="2"/>
      <c r="Q71" s="6"/>
      <c r="R71" s="6"/>
      <c r="S71" s="6"/>
      <c r="T71" s="6"/>
      <c r="U71" s="6"/>
      <c r="V71" s="6"/>
      <c r="W71" s="6"/>
    </row>
    <row r="72" spans="1:23" x14ac:dyDescent="0.25">
      <c r="A72" s="2">
        <v>3</v>
      </c>
      <c r="B72" s="2" t="s">
        <v>18</v>
      </c>
      <c r="C72" s="2" t="s">
        <v>17</v>
      </c>
      <c r="D72" s="2" t="s">
        <v>29</v>
      </c>
      <c r="E72" s="2">
        <f>I62+80</f>
        <v>670</v>
      </c>
      <c r="F72" s="2">
        <v>100</v>
      </c>
      <c r="G72" s="2">
        <v>19</v>
      </c>
      <c r="H72" s="2">
        <v>0</v>
      </c>
      <c r="I72" s="2">
        <f t="shared" si="8"/>
        <v>0</v>
      </c>
      <c r="J72" s="2"/>
      <c r="K72" s="2"/>
      <c r="L72" s="2"/>
      <c r="M72" s="2"/>
      <c r="N72" s="2"/>
      <c r="O72" s="2"/>
      <c r="P72" s="2"/>
      <c r="Q72" s="6"/>
      <c r="R72" s="6"/>
      <c r="S72" s="6"/>
      <c r="T72" s="6"/>
      <c r="U72" s="6"/>
      <c r="V72" s="6"/>
      <c r="W72" s="6"/>
    </row>
    <row r="73" spans="1:23" x14ac:dyDescent="0.25">
      <c r="A73" s="2">
        <v>6</v>
      </c>
      <c r="B73" s="2" t="s">
        <v>18</v>
      </c>
      <c r="C73" s="2" t="s">
        <v>17</v>
      </c>
      <c r="D73" s="2" t="s">
        <v>5</v>
      </c>
      <c r="E73" s="2">
        <f>H62+100</f>
        <v>1640</v>
      </c>
      <c r="F73" s="2">
        <v>100</v>
      </c>
      <c r="G73" s="2">
        <v>19</v>
      </c>
      <c r="H73" s="2">
        <v>4</v>
      </c>
      <c r="I73" s="2">
        <f t="shared" si="8"/>
        <v>0.44016200601663374</v>
      </c>
      <c r="J73" s="2"/>
      <c r="K73" s="2"/>
      <c r="L73" s="2"/>
      <c r="M73" s="2"/>
      <c r="N73" s="2"/>
      <c r="O73" s="2"/>
      <c r="P73" s="2"/>
      <c r="Q73" s="6"/>
      <c r="R73" s="6"/>
      <c r="S73" s="6"/>
      <c r="T73" s="6"/>
      <c r="U73" s="6"/>
      <c r="V73" s="6"/>
      <c r="W73" s="6"/>
    </row>
    <row r="74" spans="1:23" x14ac:dyDescent="0.25">
      <c r="A74" s="2">
        <v>6</v>
      </c>
      <c r="B74" s="2" t="s">
        <v>18</v>
      </c>
      <c r="C74" s="2" t="s">
        <v>17</v>
      </c>
      <c r="D74" s="2" t="s">
        <v>30</v>
      </c>
      <c r="E74" s="2">
        <f>J62+40</f>
        <v>1040</v>
      </c>
      <c r="F74" s="2">
        <v>100</v>
      </c>
      <c r="G74" s="2">
        <v>19</v>
      </c>
      <c r="H74" s="2">
        <v>8</v>
      </c>
      <c r="I74" s="2">
        <f t="shared" si="8"/>
        <v>0.55825425153329145</v>
      </c>
      <c r="J74" s="2"/>
      <c r="K74" s="2"/>
      <c r="L74" s="2"/>
      <c r="M74" s="2"/>
      <c r="N74" s="2"/>
      <c r="O74" s="2"/>
      <c r="P74" s="2"/>
      <c r="Q74" s="6"/>
      <c r="R74" s="6"/>
      <c r="S74" s="6"/>
      <c r="T74" s="6"/>
      <c r="U74" s="6"/>
      <c r="V74" s="6"/>
      <c r="W74" s="6"/>
    </row>
    <row r="75" spans="1:23" x14ac:dyDescent="0.25">
      <c r="A75" s="2">
        <v>6</v>
      </c>
      <c r="B75" s="2" t="s">
        <v>18</v>
      </c>
      <c r="C75" s="2" t="s">
        <v>17</v>
      </c>
      <c r="D75" s="2" t="s">
        <v>22</v>
      </c>
      <c r="E75" s="2">
        <f>I62</f>
        <v>590</v>
      </c>
      <c r="F75" s="2">
        <v>100</v>
      </c>
      <c r="G75" s="2">
        <v>19</v>
      </c>
      <c r="H75" s="2">
        <v>4</v>
      </c>
      <c r="I75" s="2">
        <f t="shared" si="8"/>
        <v>0.15835096557915485</v>
      </c>
      <c r="J75" s="2"/>
      <c r="K75" s="2"/>
      <c r="L75" s="2"/>
      <c r="M75" s="2"/>
      <c r="N75" s="2"/>
      <c r="O75" s="2"/>
      <c r="P75" s="2"/>
      <c r="Q75" s="6"/>
      <c r="R75" s="6"/>
      <c r="S75" s="6"/>
      <c r="T75" s="6"/>
      <c r="U75" s="6"/>
      <c r="V75" s="6"/>
      <c r="W75" s="6"/>
    </row>
    <row r="76" spans="1:23" x14ac:dyDescent="0.25">
      <c r="A76" s="2">
        <v>4</v>
      </c>
      <c r="B76" s="2" t="s">
        <v>18</v>
      </c>
      <c r="C76" s="2" t="s">
        <v>17</v>
      </c>
      <c r="D76" s="2" t="s">
        <v>23</v>
      </c>
      <c r="E76" s="2">
        <f>J62+40</f>
        <v>1040</v>
      </c>
      <c r="F76" s="2">
        <v>100</v>
      </c>
      <c r="G76" s="2">
        <v>19</v>
      </c>
      <c r="H76" s="2">
        <v>4</v>
      </c>
      <c r="I76" s="2">
        <f t="shared" si="8"/>
        <v>0.27912712576664572</v>
      </c>
      <c r="J76" s="2"/>
      <c r="K76" s="2"/>
      <c r="L76" s="2"/>
      <c r="M76" s="2"/>
      <c r="N76" s="2"/>
      <c r="O76" s="2"/>
      <c r="P76" s="2"/>
      <c r="Q76" s="6"/>
      <c r="R76" s="6"/>
      <c r="S76" s="6"/>
      <c r="T76" s="6"/>
      <c r="U76" s="6"/>
      <c r="V76" s="6"/>
      <c r="W76" s="6"/>
    </row>
    <row r="77" spans="1:23" x14ac:dyDescent="0.25">
      <c r="A77" s="2">
        <v>6</v>
      </c>
      <c r="B77" s="2" t="s">
        <v>18</v>
      </c>
      <c r="C77" s="2" t="s">
        <v>17</v>
      </c>
      <c r="D77" s="2" t="s">
        <v>22</v>
      </c>
      <c r="E77" s="2">
        <v>100</v>
      </c>
      <c r="F77" s="2">
        <v>100</v>
      </c>
      <c r="G77" s="2">
        <v>90</v>
      </c>
      <c r="H77" s="2">
        <f>L62</f>
        <v>12</v>
      </c>
      <c r="I77" s="2">
        <f t="shared" si="8"/>
        <v>0.38139840059207675</v>
      </c>
      <c r="J77" s="2"/>
      <c r="K77" s="2"/>
      <c r="L77" s="2"/>
      <c r="M77" s="2"/>
      <c r="N77" s="2"/>
      <c r="O77" s="2"/>
      <c r="P77" s="2"/>
      <c r="Q77" s="6"/>
      <c r="R77" s="6"/>
      <c r="S77" s="6"/>
      <c r="T77" s="6"/>
      <c r="U77" s="6"/>
      <c r="V77" s="6"/>
      <c r="W77" s="6"/>
    </row>
    <row r="78" spans="1:2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6"/>
      <c r="R78" s="6"/>
      <c r="S78" s="6"/>
      <c r="T78" s="6"/>
      <c r="U78" s="6"/>
      <c r="V78" s="6"/>
      <c r="W78" s="6"/>
    </row>
    <row r="79" spans="1:23" ht="15.75" x14ac:dyDescent="0.25">
      <c r="A79" s="3"/>
      <c r="B79" s="3"/>
      <c r="C79" s="3"/>
      <c r="D79" s="3"/>
      <c r="E79" s="3"/>
      <c r="F79" s="3"/>
      <c r="G79" s="3"/>
      <c r="H79" s="3"/>
      <c r="I79" s="4">
        <f>SUM(I67:I78)</f>
        <v>3.017002607350213</v>
      </c>
      <c r="J79" s="4">
        <f>SUM(J64:J78)</f>
        <v>73.58209160862765</v>
      </c>
      <c r="K79" s="4">
        <f>I79+K64</f>
        <v>3.3187028680852344</v>
      </c>
      <c r="L79" s="4">
        <f>J79+L64</f>
        <v>80.94030076949042</v>
      </c>
      <c r="M79" s="4">
        <f>L79*M64</f>
        <v>3075.7314292406359</v>
      </c>
      <c r="N79" s="4">
        <f>K79*N64</f>
        <v>3069.8001529788417</v>
      </c>
      <c r="O79" s="4">
        <f>L79*O64</f>
        <v>809.4030076949042</v>
      </c>
      <c r="P79" s="4">
        <f>K79*P64</f>
        <v>663.74057361704683</v>
      </c>
      <c r="Q79" s="4">
        <f>K79*Q64</f>
        <v>99.561086042557037</v>
      </c>
      <c r="R79" s="4">
        <f>K79*R64</f>
        <v>66.374057361704686</v>
      </c>
      <c r="S79" s="4">
        <f>K79*S64</f>
        <v>49.780543021278518</v>
      </c>
      <c r="T79" s="4">
        <f>K79*T64</f>
        <v>33.187028680852343</v>
      </c>
      <c r="U79" s="4">
        <f>SUM(M79:T79)</f>
        <v>7867.5778786378205</v>
      </c>
      <c r="V79" s="4">
        <f>U79*V64</f>
        <v>1180.136681795673</v>
      </c>
      <c r="W79" s="5">
        <f>U79+V79</f>
        <v>9047.7145604334928</v>
      </c>
    </row>
    <row r="86" spans="1:23" ht="21" x14ac:dyDescent="0.35">
      <c r="H86" s="16">
        <f>H87/G87</f>
        <v>68.110236220472444</v>
      </c>
      <c r="I86" s="16">
        <f>I87/G87</f>
        <v>23.228346456692915</v>
      </c>
      <c r="J86" s="16">
        <f>J87/G87</f>
        <v>39.370078740157481</v>
      </c>
      <c r="K86" s="12" t="s">
        <v>37</v>
      </c>
      <c r="L86" s="11"/>
      <c r="M86" s="11"/>
      <c r="N86" s="11"/>
      <c r="O86" s="11"/>
    </row>
    <row r="87" spans="1:23" ht="18.75" x14ac:dyDescent="0.3">
      <c r="A87" s="1">
        <v>4</v>
      </c>
      <c r="B87" s="1"/>
      <c r="C87" s="1"/>
      <c r="D87" s="1"/>
      <c r="E87" s="1"/>
      <c r="F87" s="1"/>
      <c r="G87" s="1">
        <v>25.4</v>
      </c>
      <c r="H87" s="10">
        <v>1730</v>
      </c>
      <c r="I87" s="10">
        <v>590</v>
      </c>
      <c r="J87" s="10">
        <v>1000</v>
      </c>
      <c r="K87" s="10" t="s">
        <v>24</v>
      </c>
      <c r="L87" s="10">
        <v>12</v>
      </c>
      <c r="M87" s="10" t="s">
        <v>38</v>
      </c>
      <c r="N87" s="10" t="s">
        <v>24</v>
      </c>
      <c r="O87" s="13"/>
      <c r="P87" s="8"/>
      <c r="Q87" s="9"/>
      <c r="R87" s="1"/>
      <c r="S87" s="1"/>
      <c r="T87" s="1"/>
      <c r="U87" s="1"/>
      <c r="V87" s="1"/>
      <c r="W87" s="1"/>
    </row>
    <row r="88" spans="1:23" ht="15.75" x14ac:dyDescent="0.25">
      <c r="A88" s="4" t="s">
        <v>6</v>
      </c>
      <c r="B88" s="4" t="s">
        <v>7</v>
      </c>
      <c r="C88" s="4" t="s">
        <v>8</v>
      </c>
      <c r="D88" s="4" t="s">
        <v>19</v>
      </c>
      <c r="E88" s="4" t="s">
        <v>9</v>
      </c>
      <c r="F88" s="4" t="s">
        <v>20</v>
      </c>
      <c r="G88" s="4" t="s">
        <v>21</v>
      </c>
      <c r="H88" s="4" t="s">
        <v>1</v>
      </c>
      <c r="I88" s="4" t="s">
        <v>10</v>
      </c>
      <c r="J88" s="4" t="s">
        <v>25</v>
      </c>
      <c r="K88" s="4" t="s">
        <v>32</v>
      </c>
      <c r="L88" s="4" t="s">
        <v>32</v>
      </c>
      <c r="M88" s="4" t="s">
        <v>31</v>
      </c>
      <c r="N88" s="4" t="s">
        <v>11</v>
      </c>
      <c r="O88" s="4" t="s">
        <v>33</v>
      </c>
      <c r="P88" s="4" t="s">
        <v>12</v>
      </c>
      <c r="Q88" s="4" t="s">
        <v>13</v>
      </c>
      <c r="R88" s="4" t="s">
        <v>34</v>
      </c>
      <c r="S88" s="4" t="s">
        <v>35</v>
      </c>
      <c r="T88" s="4" t="s">
        <v>36</v>
      </c>
      <c r="U88" s="4" t="s">
        <v>0</v>
      </c>
      <c r="V88" s="4" t="s">
        <v>14</v>
      </c>
      <c r="W88" s="4" t="s">
        <v>15</v>
      </c>
    </row>
    <row r="89" spans="1:23" ht="15.75" x14ac:dyDescent="0.25">
      <c r="A89" s="2">
        <v>1</v>
      </c>
      <c r="B89" s="2" t="s">
        <v>18</v>
      </c>
      <c r="C89" s="2" t="s">
        <v>26</v>
      </c>
      <c r="D89" s="2" t="s">
        <v>2</v>
      </c>
      <c r="E89" s="2">
        <f>H87+100</f>
        <v>1830</v>
      </c>
      <c r="F89" s="2">
        <f>I87+80</f>
        <v>670</v>
      </c>
      <c r="G89" s="2"/>
      <c r="H89" s="2">
        <v>2</v>
      </c>
      <c r="I89" s="2"/>
      <c r="J89" s="15">
        <f>E89*F89*H89/304.8/304.8</f>
        <v>26.395261123855576</v>
      </c>
      <c r="K89" s="4">
        <f>I104*10%</f>
        <v>0.31444885542147866</v>
      </c>
      <c r="L89" s="4">
        <f>J104*10%</f>
        <v>8.0576480597405631</v>
      </c>
      <c r="M89" s="4">
        <v>38</v>
      </c>
      <c r="N89" s="4">
        <v>925</v>
      </c>
      <c r="O89" s="4">
        <v>10</v>
      </c>
      <c r="P89" s="4">
        <v>200</v>
      </c>
      <c r="Q89" s="4">
        <v>30</v>
      </c>
      <c r="R89" s="4">
        <v>20</v>
      </c>
      <c r="S89" s="4">
        <v>10</v>
      </c>
      <c r="T89" s="4">
        <v>10</v>
      </c>
      <c r="U89" s="4"/>
      <c r="V89" s="14">
        <v>0.15</v>
      </c>
      <c r="W89" s="4"/>
    </row>
    <row r="90" spans="1:23" ht="15.75" x14ac:dyDescent="0.25">
      <c r="A90" s="2">
        <v>2</v>
      </c>
      <c r="B90" s="2" t="s">
        <v>18</v>
      </c>
      <c r="C90" s="2" t="s">
        <v>26</v>
      </c>
      <c r="D90" s="2" t="s">
        <v>3</v>
      </c>
      <c r="E90" s="2">
        <f>H87+100</f>
        <v>1830</v>
      </c>
      <c r="F90" s="2">
        <f>J87+40</f>
        <v>1040</v>
      </c>
      <c r="G90" s="2"/>
      <c r="H90" s="2">
        <v>2</v>
      </c>
      <c r="I90" s="2"/>
      <c r="J90" s="15">
        <f>E90*F90*H90/304.8/304.8</f>
        <v>40.971748610163885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15.75" x14ac:dyDescent="0.25">
      <c r="A91" s="2">
        <v>3</v>
      </c>
      <c r="B91" s="2" t="s">
        <v>18</v>
      </c>
      <c r="C91" s="2" t="s">
        <v>26</v>
      </c>
      <c r="D91" s="2" t="s">
        <v>4</v>
      </c>
      <c r="E91" s="2">
        <f>I87</f>
        <v>590</v>
      </c>
      <c r="F91" s="2">
        <f>J87+40</f>
        <v>1040</v>
      </c>
      <c r="G91" s="2"/>
      <c r="H91" s="2">
        <v>2</v>
      </c>
      <c r="I91" s="2"/>
      <c r="J91" s="15">
        <f>E91*F91*H91/304.8/304.8</f>
        <v>13.209470863386171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15.75" x14ac:dyDescent="0.25">
      <c r="A92" s="2">
        <v>5</v>
      </c>
      <c r="B92" s="2" t="s">
        <v>18</v>
      </c>
      <c r="C92" s="2" t="s">
        <v>17</v>
      </c>
      <c r="D92" s="2" t="s">
        <v>16</v>
      </c>
      <c r="E92" s="2">
        <f>H87+100</f>
        <v>1830</v>
      </c>
      <c r="F92" s="2">
        <v>100</v>
      </c>
      <c r="G92" s="2">
        <v>19</v>
      </c>
      <c r="H92" s="2">
        <v>2</v>
      </c>
      <c r="I92" s="2">
        <f t="shared" ref="I92:I102" si="10">E92*F92*G92*H92/304.8/304.8/304.8</f>
        <v>0.2455781923812316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15.75" x14ac:dyDescent="0.25">
      <c r="A93" s="2">
        <v>6</v>
      </c>
      <c r="B93" s="2" t="s">
        <v>18</v>
      </c>
      <c r="C93" s="2" t="s">
        <v>17</v>
      </c>
      <c r="D93" s="2" t="s">
        <v>27</v>
      </c>
      <c r="E93" s="2">
        <f>I87+80</f>
        <v>670</v>
      </c>
      <c r="F93" s="2">
        <v>100</v>
      </c>
      <c r="G93" s="2">
        <v>19</v>
      </c>
      <c r="H93" s="2">
        <v>4</v>
      </c>
      <c r="I93" s="2">
        <f t="shared" si="10"/>
        <v>0.17982228294581987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x14ac:dyDescent="0.25">
      <c r="A94" s="2">
        <v>6</v>
      </c>
      <c r="B94" s="2" t="s">
        <v>18</v>
      </c>
      <c r="C94" s="2" t="s">
        <v>17</v>
      </c>
      <c r="D94" s="2" t="s">
        <v>28</v>
      </c>
      <c r="E94" s="2">
        <f>H87+100</f>
        <v>1830</v>
      </c>
      <c r="F94" s="2">
        <v>100</v>
      </c>
      <c r="G94" s="2">
        <v>19</v>
      </c>
      <c r="H94" s="2">
        <v>4</v>
      </c>
      <c r="I94" s="2">
        <f t="shared" si="10"/>
        <v>0.49115638476246321</v>
      </c>
      <c r="J94" s="2"/>
      <c r="K94" s="2"/>
      <c r="L94" s="2"/>
      <c r="M94" s="2"/>
      <c r="N94" s="2"/>
      <c r="O94" s="2"/>
      <c r="P94" s="2"/>
      <c r="Q94" s="6"/>
      <c r="R94" s="6"/>
      <c r="S94" s="6"/>
      <c r="T94" s="6"/>
      <c r="U94" s="6"/>
      <c r="V94" s="7"/>
      <c r="W94" s="6"/>
    </row>
    <row r="95" spans="1:23" x14ac:dyDescent="0.25">
      <c r="A95" s="2">
        <v>6</v>
      </c>
      <c r="B95" s="2" t="s">
        <v>18</v>
      </c>
      <c r="C95" s="2" t="s">
        <v>17</v>
      </c>
      <c r="D95" s="2" t="s">
        <v>28</v>
      </c>
      <c r="E95" s="2">
        <f>I87+80</f>
        <v>670</v>
      </c>
      <c r="F95" s="2">
        <v>100</v>
      </c>
      <c r="G95" s="2">
        <v>19</v>
      </c>
      <c r="H95" s="2">
        <v>4</v>
      </c>
      <c r="I95" s="2">
        <f t="shared" si="10"/>
        <v>0.17982228294581987</v>
      </c>
      <c r="J95" s="2"/>
      <c r="K95" s="2"/>
      <c r="L95" s="2"/>
      <c r="M95" s="2"/>
      <c r="N95" s="2"/>
      <c r="O95" s="2"/>
      <c r="P95" s="2"/>
      <c r="Q95" s="6"/>
      <c r="R95" s="6"/>
      <c r="S95" s="6"/>
      <c r="T95" s="6"/>
      <c r="U95" s="6"/>
      <c r="V95" s="6"/>
      <c r="W95" s="6"/>
    </row>
    <row r="96" spans="1:23" x14ac:dyDescent="0.25">
      <c r="A96" s="2">
        <v>3</v>
      </c>
      <c r="B96" s="2" t="s">
        <v>18</v>
      </c>
      <c r="C96" s="2" t="s">
        <v>17</v>
      </c>
      <c r="D96" s="2" t="s">
        <v>29</v>
      </c>
      <c r="E96" s="2">
        <f>I87+80</f>
        <v>670</v>
      </c>
      <c r="F96" s="2">
        <v>100</v>
      </c>
      <c r="G96" s="2">
        <v>19</v>
      </c>
      <c r="H96" s="2">
        <v>4</v>
      </c>
      <c r="I96" s="2">
        <f t="shared" ref="I96" si="11">E96*F96*G96*H96/304.8/304.8/304.8</f>
        <v>0.17982228294581987</v>
      </c>
      <c r="J96" s="2"/>
      <c r="K96" s="2"/>
      <c r="L96" s="2"/>
      <c r="M96" s="2"/>
      <c r="N96" s="2"/>
      <c r="O96" s="2"/>
      <c r="P96" s="2"/>
      <c r="Q96" s="6"/>
      <c r="R96" s="6"/>
      <c r="S96" s="6"/>
      <c r="T96" s="6"/>
      <c r="U96" s="6"/>
      <c r="V96" s="6"/>
      <c r="W96" s="6"/>
    </row>
    <row r="97" spans="1:23" x14ac:dyDescent="0.25">
      <c r="A97" s="2">
        <v>3</v>
      </c>
      <c r="B97" s="2" t="s">
        <v>18</v>
      </c>
      <c r="C97" s="2" t="s">
        <v>17</v>
      </c>
      <c r="D97" s="2" t="s">
        <v>29</v>
      </c>
      <c r="E97" s="2">
        <f>I87+80</f>
        <v>670</v>
      </c>
      <c r="F97" s="2">
        <v>100</v>
      </c>
      <c r="G97" s="2">
        <v>19</v>
      </c>
      <c r="H97" s="2">
        <v>0</v>
      </c>
      <c r="I97" s="2">
        <f t="shared" si="10"/>
        <v>0</v>
      </c>
      <c r="J97" s="2"/>
      <c r="K97" s="2"/>
      <c r="L97" s="2"/>
      <c r="M97" s="2"/>
      <c r="N97" s="2"/>
      <c r="O97" s="2"/>
      <c r="P97" s="2"/>
      <c r="Q97" s="6"/>
      <c r="R97" s="6"/>
      <c r="S97" s="6"/>
      <c r="T97" s="6"/>
      <c r="U97" s="6"/>
      <c r="V97" s="6"/>
      <c r="W97" s="6"/>
    </row>
    <row r="98" spans="1:23" x14ac:dyDescent="0.25">
      <c r="A98" s="2">
        <v>6</v>
      </c>
      <c r="B98" s="2" t="s">
        <v>18</v>
      </c>
      <c r="C98" s="2" t="s">
        <v>17</v>
      </c>
      <c r="D98" s="2" t="s">
        <v>5</v>
      </c>
      <c r="E98" s="2">
        <f>H87+100</f>
        <v>1830</v>
      </c>
      <c r="F98" s="2">
        <v>100</v>
      </c>
      <c r="G98" s="2">
        <v>19</v>
      </c>
      <c r="H98" s="2">
        <v>4</v>
      </c>
      <c r="I98" s="2">
        <f t="shared" si="10"/>
        <v>0.49115638476246321</v>
      </c>
      <c r="J98" s="2"/>
      <c r="K98" s="2"/>
      <c r="L98" s="2"/>
      <c r="M98" s="2"/>
      <c r="N98" s="2"/>
      <c r="O98" s="2"/>
      <c r="P98" s="2"/>
      <c r="Q98" s="6"/>
      <c r="R98" s="6"/>
      <c r="S98" s="6"/>
      <c r="T98" s="6"/>
      <c r="U98" s="6"/>
      <c r="V98" s="6"/>
      <c r="W98" s="6"/>
    </row>
    <row r="99" spans="1:23" x14ac:dyDescent="0.25">
      <c r="A99" s="2">
        <v>6</v>
      </c>
      <c r="B99" s="2" t="s">
        <v>18</v>
      </c>
      <c r="C99" s="2" t="s">
        <v>17</v>
      </c>
      <c r="D99" s="2" t="s">
        <v>30</v>
      </c>
      <c r="E99" s="2">
        <f>J87+40</f>
        <v>1040</v>
      </c>
      <c r="F99" s="2">
        <v>100</v>
      </c>
      <c r="G99" s="2">
        <v>19</v>
      </c>
      <c r="H99" s="2">
        <v>8</v>
      </c>
      <c r="I99" s="2">
        <f t="shared" si="10"/>
        <v>0.55825425153329145</v>
      </c>
      <c r="J99" s="2"/>
      <c r="K99" s="2"/>
      <c r="L99" s="2"/>
      <c r="M99" s="2"/>
      <c r="N99" s="2"/>
      <c r="O99" s="2"/>
      <c r="P99" s="2"/>
      <c r="Q99" s="6"/>
      <c r="R99" s="6"/>
      <c r="S99" s="6"/>
      <c r="T99" s="6"/>
      <c r="U99" s="6"/>
      <c r="V99" s="6"/>
      <c r="W99" s="6"/>
    </row>
    <row r="100" spans="1:23" x14ac:dyDescent="0.25">
      <c r="A100" s="2">
        <v>6</v>
      </c>
      <c r="B100" s="2" t="s">
        <v>18</v>
      </c>
      <c r="C100" s="2" t="s">
        <v>17</v>
      </c>
      <c r="D100" s="2" t="s">
        <v>22</v>
      </c>
      <c r="E100" s="2">
        <f>I87</f>
        <v>590</v>
      </c>
      <c r="F100" s="2">
        <v>100</v>
      </c>
      <c r="G100" s="2">
        <v>19</v>
      </c>
      <c r="H100" s="2">
        <v>4</v>
      </c>
      <c r="I100" s="2">
        <f t="shared" si="10"/>
        <v>0.15835096557915485</v>
      </c>
      <c r="J100" s="2"/>
      <c r="K100" s="2"/>
      <c r="L100" s="2"/>
      <c r="M100" s="2"/>
      <c r="N100" s="2"/>
      <c r="O100" s="2"/>
      <c r="P100" s="2"/>
      <c r="Q100" s="6"/>
      <c r="R100" s="6"/>
      <c r="S100" s="6"/>
      <c r="T100" s="6"/>
      <c r="U100" s="6"/>
      <c r="V100" s="6"/>
      <c r="W100" s="6"/>
    </row>
    <row r="101" spans="1:23" x14ac:dyDescent="0.25">
      <c r="A101" s="2">
        <v>4</v>
      </c>
      <c r="B101" s="2" t="s">
        <v>18</v>
      </c>
      <c r="C101" s="2" t="s">
        <v>17</v>
      </c>
      <c r="D101" s="2" t="s">
        <v>23</v>
      </c>
      <c r="E101" s="2">
        <f>J87+40</f>
        <v>1040</v>
      </c>
      <c r="F101" s="2">
        <v>100</v>
      </c>
      <c r="G101" s="2">
        <v>19</v>
      </c>
      <c r="H101" s="2">
        <v>4</v>
      </c>
      <c r="I101" s="2">
        <f t="shared" si="10"/>
        <v>0.27912712576664572</v>
      </c>
      <c r="J101" s="2"/>
      <c r="K101" s="2"/>
      <c r="L101" s="2"/>
      <c r="M101" s="2"/>
      <c r="N101" s="2"/>
      <c r="O101" s="2"/>
      <c r="P101" s="2"/>
      <c r="Q101" s="6"/>
      <c r="R101" s="6"/>
      <c r="S101" s="6"/>
      <c r="T101" s="6"/>
      <c r="U101" s="6"/>
      <c r="V101" s="6"/>
      <c r="W101" s="6"/>
    </row>
    <row r="102" spans="1:23" x14ac:dyDescent="0.25">
      <c r="A102" s="2">
        <v>6</v>
      </c>
      <c r="B102" s="2" t="s">
        <v>18</v>
      </c>
      <c r="C102" s="2" t="s">
        <v>17</v>
      </c>
      <c r="D102" s="2" t="s">
        <v>22</v>
      </c>
      <c r="E102" s="2">
        <v>100</v>
      </c>
      <c r="F102" s="2">
        <v>100</v>
      </c>
      <c r="G102" s="2">
        <v>90</v>
      </c>
      <c r="H102" s="2">
        <f>L87</f>
        <v>12</v>
      </c>
      <c r="I102" s="2">
        <f t="shared" si="10"/>
        <v>0.38139840059207675</v>
      </c>
      <c r="J102" s="2"/>
      <c r="K102" s="2"/>
      <c r="L102" s="2"/>
      <c r="M102" s="2"/>
      <c r="N102" s="2"/>
      <c r="O102" s="2"/>
      <c r="P102" s="2"/>
      <c r="Q102" s="6"/>
      <c r="R102" s="6"/>
      <c r="S102" s="6"/>
      <c r="T102" s="6"/>
      <c r="U102" s="6"/>
      <c r="V102" s="6"/>
      <c r="W102" s="6"/>
    </row>
    <row r="103" spans="1:2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6"/>
      <c r="R103" s="6"/>
      <c r="S103" s="6"/>
      <c r="T103" s="6"/>
      <c r="U103" s="6"/>
      <c r="V103" s="6"/>
      <c r="W103" s="6"/>
    </row>
    <row r="104" spans="1:23" ht="15.75" x14ac:dyDescent="0.25">
      <c r="A104" s="3"/>
      <c r="B104" s="3"/>
      <c r="C104" s="3"/>
      <c r="D104" s="3"/>
      <c r="E104" s="3"/>
      <c r="F104" s="3"/>
      <c r="G104" s="3"/>
      <c r="H104" s="3"/>
      <c r="I104" s="4">
        <f>SUM(I92:I103)</f>
        <v>3.1444885542147865</v>
      </c>
      <c r="J104" s="4">
        <f>SUM(J89:J103)</f>
        <v>80.576480597405634</v>
      </c>
      <c r="K104" s="4">
        <f>I104+K89</f>
        <v>3.4589374096362651</v>
      </c>
      <c r="L104" s="4">
        <f>J104+L89</f>
        <v>88.634128657146192</v>
      </c>
      <c r="M104" s="4">
        <f>L104*M89</f>
        <v>3368.0968889715555</v>
      </c>
      <c r="N104" s="4">
        <f>K104*N89</f>
        <v>3199.5171039135453</v>
      </c>
      <c r="O104" s="4">
        <f>L104*O89</f>
        <v>886.34128657146198</v>
      </c>
      <c r="P104" s="4">
        <f>K104*P89</f>
        <v>691.787481927253</v>
      </c>
      <c r="Q104" s="4">
        <f>K104*Q89</f>
        <v>103.76812228908796</v>
      </c>
      <c r="R104" s="4">
        <f>K104*R89</f>
        <v>69.178748192725294</v>
      </c>
      <c r="S104" s="4">
        <f>K104*S89</f>
        <v>34.589374096362647</v>
      </c>
      <c r="T104" s="4">
        <f>K104*T89</f>
        <v>34.589374096362647</v>
      </c>
      <c r="U104" s="4">
        <f>SUM(M104:T104)</f>
        <v>8387.8683800583531</v>
      </c>
      <c r="V104" s="4">
        <f>U104*V89</f>
        <v>1258.180257008753</v>
      </c>
      <c r="W104" s="5">
        <f>U104+V104</f>
        <v>9646.048637067106</v>
      </c>
    </row>
    <row r="112" spans="1:23" ht="21" x14ac:dyDescent="0.35">
      <c r="H112" s="16">
        <f>H113/G113</f>
        <v>75.59055118110237</v>
      </c>
      <c r="I112" s="16">
        <f>I113/G113</f>
        <v>23.228346456692915</v>
      </c>
      <c r="J112" s="16">
        <f>J113/G113</f>
        <v>39.370078740157481</v>
      </c>
      <c r="K112" s="12" t="s">
        <v>37</v>
      </c>
      <c r="L112" s="11"/>
      <c r="M112" s="11"/>
      <c r="N112" s="11"/>
      <c r="O112" s="11"/>
    </row>
    <row r="113" spans="1:23" ht="18.75" x14ac:dyDescent="0.3">
      <c r="A113" s="1">
        <v>5</v>
      </c>
      <c r="B113" s="1"/>
      <c r="C113" s="1"/>
      <c r="D113" s="1"/>
      <c r="E113" s="1"/>
      <c r="F113" s="1"/>
      <c r="G113" s="1">
        <v>25.4</v>
      </c>
      <c r="H113" s="10">
        <v>1920</v>
      </c>
      <c r="I113" s="10">
        <v>590</v>
      </c>
      <c r="J113" s="10">
        <v>1000</v>
      </c>
      <c r="K113" s="10" t="s">
        <v>24</v>
      </c>
      <c r="L113" s="10">
        <v>9</v>
      </c>
      <c r="M113" s="10" t="s">
        <v>38</v>
      </c>
      <c r="N113" s="10" t="s">
        <v>24</v>
      </c>
      <c r="O113" s="13"/>
      <c r="P113" s="8"/>
      <c r="Q113" s="9"/>
      <c r="R113" s="1"/>
      <c r="S113" s="1"/>
      <c r="T113" s="1"/>
      <c r="U113" s="1"/>
      <c r="V113" s="1"/>
      <c r="W113" s="1"/>
    </row>
    <row r="114" spans="1:23" ht="15.75" x14ac:dyDescent="0.25">
      <c r="A114" s="4" t="s">
        <v>6</v>
      </c>
      <c r="B114" s="4" t="s">
        <v>7</v>
      </c>
      <c r="C114" s="4" t="s">
        <v>8</v>
      </c>
      <c r="D114" s="4" t="s">
        <v>19</v>
      </c>
      <c r="E114" s="4" t="s">
        <v>9</v>
      </c>
      <c r="F114" s="4" t="s">
        <v>20</v>
      </c>
      <c r="G114" s="4" t="s">
        <v>21</v>
      </c>
      <c r="H114" s="4" t="s">
        <v>1</v>
      </c>
      <c r="I114" s="4" t="s">
        <v>10</v>
      </c>
      <c r="J114" s="4" t="s">
        <v>25</v>
      </c>
      <c r="K114" s="4" t="s">
        <v>32</v>
      </c>
      <c r="L114" s="4" t="s">
        <v>32</v>
      </c>
      <c r="M114" s="4" t="s">
        <v>31</v>
      </c>
      <c r="N114" s="4" t="s">
        <v>11</v>
      </c>
      <c r="O114" s="4" t="s">
        <v>33</v>
      </c>
      <c r="P114" s="4" t="s">
        <v>12</v>
      </c>
      <c r="Q114" s="4" t="s">
        <v>13</v>
      </c>
      <c r="R114" s="4" t="s">
        <v>34</v>
      </c>
      <c r="S114" s="4" t="s">
        <v>35</v>
      </c>
      <c r="T114" s="4" t="s">
        <v>36</v>
      </c>
      <c r="U114" s="4" t="s">
        <v>0</v>
      </c>
      <c r="V114" s="4" t="s">
        <v>14</v>
      </c>
      <c r="W114" s="4" t="s">
        <v>15</v>
      </c>
    </row>
    <row r="115" spans="1:23" ht="15.75" x14ac:dyDescent="0.25">
      <c r="A115" s="2">
        <v>1</v>
      </c>
      <c r="B115" s="2" t="s">
        <v>18</v>
      </c>
      <c r="C115" s="2" t="s">
        <v>26</v>
      </c>
      <c r="D115" s="2" t="s">
        <v>2</v>
      </c>
      <c r="E115" s="2">
        <f>H113+100</f>
        <v>2020</v>
      </c>
      <c r="F115" s="2">
        <f>I113+80</f>
        <v>670</v>
      </c>
      <c r="G115" s="2"/>
      <c r="H115" s="2">
        <v>2</v>
      </c>
      <c r="I115" s="2"/>
      <c r="J115" s="15">
        <f>E115*F115*H115/304.8/304.8</f>
        <v>29.13575271594987</v>
      </c>
      <c r="K115" s="4">
        <f>I130*10%</f>
        <v>0.32719745010793605</v>
      </c>
      <c r="L115" s="4">
        <f>J130*10%</f>
        <v>8.7570869586183626</v>
      </c>
      <c r="M115" s="4">
        <v>38</v>
      </c>
      <c r="N115" s="4">
        <v>925</v>
      </c>
      <c r="O115" s="4">
        <v>10</v>
      </c>
      <c r="P115" s="4">
        <v>190</v>
      </c>
      <c r="Q115" s="4">
        <v>30</v>
      </c>
      <c r="R115" s="4">
        <v>20</v>
      </c>
      <c r="S115" s="4">
        <v>10</v>
      </c>
      <c r="T115" s="4">
        <v>10</v>
      </c>
      <c r="U115" s="4"/>
      <c r="V115" s="14">
        <v>0.15</v>
      </c>
      <c r="W115" s="4"/>
    </row>
    <row r="116" spans="1:23" ht="15.75" x14ac:dyDescent="0.25">
      <c r="A116" s="2">
        <v>2</v>
      </c>
      <c r="B116" s="2" t="s">
        <v>18</v>
      </c>
      <c r="C116" s="2" t="s">
        <v>26</v>
      </c>
      <c r="D116" s="2" t="s">
        <v>3</v>
      </c>
      <c r="E116" s="2">
        <f>H113+100</f>
        <v>2020</v>
      </c>
      <c r="F116" s="2">
        <f>J113+40</f>
        <v>1040</v>
      </c>
      <c r="G116" s="2"/>
      <c r="H116" s="2">
        <v>2</v>
      </c>
      <c r="I116" s="2"/>
      <c r="J116" s="15">
        <f>E116*F116*H116/304.8/304.8</f>
        <v>45.225646006847569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15.75" x14ac:dyDescent="0.25">
      <c r="A117" s="2">
        <v>3</v>
      </c>
      <c r="B117" s="2" t="s">
        <v>18</v>
      </c>
      <c r="C117" s="2" t="s">
        <v>26</v>
      </c>
      <c r="D117" s="2" t="s">
        <v>4</v>
      </c>
      <c r="E117" s="2">
        <f>I113</f>
        <v>590</v>
      </c>
      <c r="F117" s="2">
        <f>J113+40</f>
        <v>1040</v>
      </c>
      <c r="G117" s="2"/>
      <c r="H117" s="2">
        <v>2</v>
      </c>
      <c r="I117" s="2"/>
      <c r="J117" s="15">
        <f>E117*F117*H117/304.8/304.8</f>
        <v>13.209470863386171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15.75" x14ac:dyDescent="0.25">
      <c r="A118" s="2">
        <v>5</v>
      </c>
      <c r="B118" s="2" t="s">
        <v>18</v>
      </c>
      <c r="C118" s="2" t="s">
        <v>17</v>
      </c>
      <c r="D118" s="2" t="s">
        <v>16</v>
      </c>
      <c r="E118" s="2">
        <f>H113+100</f>
        <v>2020</v>
      </c>
      <c r="F118" s="2">
        <v>100</v>
      </c>
      <c r="G118" s="2">
        <v>19</v>
      </c>
      <c r="H118" s="2">
        <v>2</v>
      </c>
      <c r="I118" s="2">
        <f t="shared" ref="I118:I128" si="12">E118*F118*G118*H118/304.8/304.8/304.8</f>
        <v>0.27107538175414636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15.75" x14ac:dyDescent="0.25">
      <c r="A119" s="2">
        <v>6</v>
      </c>
      <c r="B119" s="2" t="s">
        <v>18</v>
      </c>
      <c r="C119" s="2" t="s">
        <v>17</v>
      </c>
      <c r="D119" s="2" t="s">
        <v>27</v>
      </c>
      <c r="E119" s="2">
        <f>I113+80</f>
        <v>670</v>
      </c>
      <c r="F119" s="2">
        <v>100</v>
      </c>
      <c r="G119" s="2">
        <v>19</v>
      </c>
      <c r="H119" s="2">
        <v>4</v>
      </c>
      <c r="I119" s="2">
        <f t="shared" si="12"/>
        <v>0.17982228294581987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x14ac:dyDescent="0.25">
      <c r="A120" s="2">
        <v>6</v>
      </c>
      <c r="B120" s="2" t="s">
        <v>18</v>
      </c>
      <c r="C120" s="2" t="s">
        <v>17</v>
      </c>
      <c r="D120" s="2" t="s">
        <v>28</v>
      </c>
      <c r="E120" s="2">
        <f>H113+100</f>
        <v>2020</v>
      </c>
      <c r="F120" s="2">
        <v>100</v>
      </c>
      <c r="G120" s="2">
        <v>19</v>
      </c>
      <c r="H120" s="2">
        <v>4</v>
      </c>
      <c r="I120" s="2">
        <f t="shared" si="12"/>
        <v>0.54215076350829272</v>
      </c>
      <c r="J120" s="2"/>
      <c r="K120" s="2"/>
      <c r="L120" s="2"/>
      <c r="M120" s="2"/>
      <c r="N120" s="2"/>
      <c r="O120" s="2"/>
      <c r="P120" s="2"/>
      <c r="Q120" s="6"/>
      <c r="R120" s="6"/>
      <c r="S120" s="6"/>
      <c r="T120" s="6"/>
      <c r="U120" s="6"/>
      <c r="V120" s="7"/>
      <c r="W120" s="6"/>
    </row>
    <row r="121" spans="1:23" x14ac:dyDescent="0.25">
      <c r="A121" s="2">
        <v>6</v>
      </c>
      <c r="B121" s="2" t="s">
        <v>18</v>
      </c>
      <c r="C121" s="2" t="s">
        <v>17</v>
      </c>
      <c r="D121" s="2" t="s">
        <v>28</v>
      </c>
      <c r="E121" s="2">
        <f>I113+80</f>
        <v>670</v>
      </c>
      <c r="F121" s="2">
        <v>100</v>
      </c>
      <c r="G121" s="2">
        <v>19</v>
      </c>
      <c r="H121" s="2">
        <v>4</v>
      </c>
      <c r="I121" s="2">
        <f t="shared" si="12"/>
        <v>0.17982228294581987</v>
      </c>
      <c r="J121" s="2"/>
      <c r="K121" s="2"/>
      <c r="L121" s="2"/>
      <c r="M121" s="2"/>
      <c r="N121" s="2"/>
      <c r="O121" s="2"/>
      <c r="P121" s="2"/>
      <c r="Q121" s="6"/>
      <c r="R121" s="6"/>
      <c r="S121" s="6"/>
      <c r="T121" s="6"/>
      <c r="U121" s="6"/>
      <c r="V121" s="6"/>
      <c r="W121" s="6"/>
    </row>
    <row r="122" spans="1:23" x14ac:dyDescent="0.25">
      <c r="A122" s="2">
        <v>3</v>
      </c>
      <c r="B122" s="2" t="s">
        <v>18</v>
      </c>
      <c r="C122" s="2" t="s">
        <v>17</v>
      </c>
      <c r="D122" s="2" t="s">
        <v>29</v>
      </c>
      <c r="E122" s="2">
        <f>I113+80</f>
        <v>670</v>
      </c>
      <c r="F122" s="2">
        <v>100</v>
      </c>
      <c r="G122" s="2">
        <v>19</v>
      </c>
      <c r="H122" s="2">
        <v>4</v>
      </c>
      <c r="I122" s="2">
        <f t="shared" ref="I122" si="13">E122*F122*G122*H122/304.8/304.8/304.8</f>
        <v>0.17982228294581987</v>
      </c>
      <c r="J122" s="2"/>
      <c r="K122" s="2"/>
      <c r="L122" s="2"/>
      <c r="M122" s="2"/>
      <c r="N122" s="2"/>
      <c r="O122" s="2"/>
      <c r="P122" s="2"/>
      <c r="Q122" s="6"/>
      <c r="R122" s="6"/>
      <c r="S122" s="6"/>
      <c r="T122" s="6"/>
      <c r="U122" s="6"/>
      <c r="V122" s="6"/>
      <c r="W122" s="6"/>
    </row>
    <row r="123" spans="1:23" x14ac:dyDescent="0.25">
      <c r="A123" s="2">
        <v>3</v>
      </c>
      <c r="B123" s="2" t="s">
        <v>18</v>
      </c>
      <c r="C123" s="2" t="s">
        <v>17</v>
      </c>
      <c r="D123" s="2" t="s">
        <v>29</v>
      </c>
      <c r="E123" s="2">
        <f>I113+80</f>
        <v>670</v>
      </c>
      <c r="F123" s="2">
        <v>100</v>
      </c>
      <c r="G123" s="2">
        <v>19</v>
      </c>
      <c r="H123" s="2">
        <v>0</v>
      </c>
      <c r="I123" s="2">
        <f t="shared" si="12"/>
        <v>0</v>
      </c>
      <c r="J123" s="2"/>
      <c r="K123" s="2"/>
      <c r="L123" s="2"/>
      <c r="M123" s="2"/>
      <c r="N123" s="2"/>
      <c r="O123" s="2"/>
      <c r="P123" s="2"/>
      <c r="Q123" s="6"/>
      <c r="R123" s="6"/>
      <c r="S123" s="6"/>
      <c r="T123" s="6"/>
      <c r="U123" s="6"/>
      <c r="V123" s="6"/>
      <c r="W123" s="6"/>
    </row>
    <row r="124" spans="1:23" x14ac:dyDescent="0.25">
      <c r="A124" s="2">
        <v>6</v>
      </c>
      <c r="B124" s="2" t="s">
        <v>18</v>
      </c>
      <c r="C124" s="2" t="s">
        <v>17</v>
      </c>
      <c r="D124" s="2" t="s">
        <v>5</v>
      </c>
      <c r="E124" s="2">
        <f>H113+100</f>
        <v>2020</v>
      </c>
      <c r="F124" s="2">
        <v>100</v>
      </c>
      <c r="G124" s="2">
        <v>19</v>
      </c>
      <c r="H124" s="2">
        <v>4</v>
      </c>
      <c r="I124" s="2">
        <f t="shared" si="12"/>
        <v>0.54215076350829272</v>
      </c>
      <c r="J124" s="2"/>
      <c r="K124" s="2"/>
      <c r="L124" s="2"/>
      <c r="M124" s="2"/>
      <c r="N124" s="2"/>
      <c r="O124" s="2"/>
      <c r="P124" s="2"/>
      <c r="Q124" s="6"/>
      <c r="R124" s="6"/>
      <c r="S124" s="6"/>
      <c r="T124" s="6"/>
      <c r="U124" s="6"/>
      <c r="V124" s="6"/>
      <c r="W124" s="6"/>
    </row>
    <row r="125" spans="1:23" x14ac:dyDescent="0.25">
      <c r="A125" s="2">
        <v>6</v>
      </c>
      <c r="B125" s="2" t="s">
        <v>18</v>
      </c>
      <c r="C125" s="2" t="s">
        <v>17</v>
      </c>
      <c r="D125" s="2" t="s">
        <v>30</v>
      </c>
      <c r="E125" s="2">
        <f>J113+40</f>
        <v>1040</v>
      </c>
      <c r="F125" s="2">
        <v>100</v>
      </c>
      <c r="G125" s="2">
        <v>19</v>
      </c>
      <c r="H125" s="2">
        <v>8</v>
      </c>
      <c r="I125" s="2">
        <f t="shared" si="12"/>
        <v>0.55825425153329145</v>
      </c>
      <c r="J125" s="2"/>
      <c r="K125" s="2"/>
      <c r="L125" s="2"/>
      <c r="M125" s="2"/>
      <c r="N125" s="2"/>
      <c r="O125" s="2"/>
      <c r="P125" s="2"/>
      <c r="Q125" s="6"/>
      <c r="R125" s="6"/>
      <c r="S125" s="6"/>
      <c r="T125" s="6"/>
      <c r="U125" s="6"/>
      <c r="V125" s="6"/>
      <c r="W125" s="6"/>
    </row>
    <row r="126" spans="1:23" x14ac:dyDescent="0.25">
      <c r="A126" s="2">
        <v>6</v>
      </c>
      <c r="B126" s="2" t="s">
        <v>18</v>
      </c>
      <c r="C126" s="2" t="s">
        <v>17</v>
      </c>
      <c r="D126" s="2" t="s">
        <v>22</v>
      </c>
      <c r="E126" s="2">
        <f>I113</f>
        <v>590</v>
      </c>
      <c r="F126" s="2">
        <v>100</v>
      </c>
      <c r="G126" s="2">
        <v>19</v>
      </c>
      <c r="H126" s="2">
        <v>4</v>
      </c>
      <c r="I126" s="2">
        <f t="shared" si="12"/>
        <v>0.15835096557915485</v>
      </c>
      <c r="J126" s="2"/>
      <c r="K126" s="2"/>
      <c r="L126" s="2"/>
      <c r="M126" s="2"/>
      <c r="N126" s="2"/>
      <c r="O126" s="2"/>
      <c r="P126" s="2"/>
      <c r="Q126" s="6"/>
      <c r="R126" s="6"/>
      <c r="S126" s="6"/>
      <c r="T126" s="6"/>
      <c r="U126" s="6"/>
      <c r="V126" s="6"/>
      <c r="W126" s="6"/>
    </row>
    <row r="127" spans="1:23" x14ac:dyDescent="0.25">
      <c r="A127" s="2">
        <v>4</v>
      </c>
      <c r="B127" s="2" t="s">
        <v>18</v>
      </c>
      <c r="C127" s="2" t="s">
        <v>17</v>
      </c>
      <c r="D127" s="2" t="s">
        <v>23</v>
      </c>
      <c r="E127" s="2">
        <f>J113+40</f>
        <v>1040</v>
      </c>
      <c r="F127" s="2">
        <v>100</v>
      </c>
      <c r="G127" s="2">
        <v>19</v>
      </c>
      <c r="H127" s="2">
        <v>4</v>
      </c>
      <c r="I127" s="2">
        <f t="shared" si="12"/>
        <v>0.27912712576664572</v>
      </c>
      <c r="J127" s="2"/>
      <c r="K127" s="2"/>
      <c r="L127" s="2"/>
      <c r="M127" s="2"/>
      <c r="N127" s="2"/>
      <c r="O127" s="2"/>
      <c r="P127" s="2"/>
      <c r="Q127" s="6"/>
      <c r="R127" s="6"/>
      <c r="S127" s="6"/>
      <c r="T127" s="6"/>
      <c r="U127" s="6"/>
      <c r="V127" s="6"/>
      <c r="W127" s="6"/>
    </row>
    <row r="128" spans="1:23" x14ac:dyDescent="0.25">
      <c r="A128" s="2">
        <v>6</v>
      </c>
      <c r="B128" s="2" t="s">
        <v>18</v>
      </c>
      <c r="C128" s="2" t="s">
        <v>17</v>
      </c>
      <c r="D128" s="2" t="s">
        <v>22</v>
      </c>
      <c r="E128" s="2">
        <v>100</v>
      </c>
      <c r="F128" s="2">
        <v>100</v>
      </c>
      <c r="G128" s="2">
        <v>90</v>
      </c>
      <c r="H128" s="2">
        <v>12</v>
      </c>
      <c r="I128" s="2">
        <f t="shared" si="12"/>
        <v>0.38139840059207675</v>
      </c>
      <c r="J128" s="2"/>
      <c r="K128" s="2"/>
      <c r="L128" s="2"/>
      <c r="M128" s="2"/>
      <c r="N128" s="2"/>
      <c r="O128" s="2"/>
      <c r="P128" s="2"/>
      <c r="Q128" s="6"/>
      <c r="R128" s="6"/>
      <c r="S128" s="6"/>
      <c r="T128" s="6"/>
      <c r="U128" s="6"/>
      <c r="V128" s="6"/>
      <c r="W128" s="6"/>
    </row>
    <row r="129" spans="1:2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6"/>
      <c r="R129" s="6"/>
      <c r="S129" s="6"/>
      <c r="T129" s="6"/>
      <c r="U129" s="6"/>
      <c r="V129" s="6"/>
      <c r="W129" s="6"/>
    </row>
    <row r="130" spans="1:23" ht="15.75" x14ac:dyDescent="0.25">
      <c r="A130" s="3"/>
      <c r="B130" s="3"/>
      <c r="C130" s="3"/>
      <c r="D130" s="3"/>
      <c r="E130" s="3"/>
      <c r="F130" s="3"/>
      <c r="G130" s="3"/>
      <c r="H130" s="3"/>
      <c r="I130" s="4">
        <f>SUM(I118:I129)</f>
        <v>3.2719745010793604</v>
      </c>
      <c r="J130" s="4">
        <f>SUM(J115:J129)</f>
        <v>87.570869586183619</v>
      </c>
      <c r="K130" s="4">
        <f>I130+K115</f>
        <v>3.5991719511872966</v>
      </c>
      <c r="L130" s="4">
        <f>J130+L115</f>
        <v>96.327956544801978</v>
      </c>
      <c r="M130" s="4">
        <f>L130*M115</f>
        <v>3660.4623487024751</v>
      </c>
      <c r="N130" s="4">
        <f>K130*N115</f>
        <v>3329.2340548482493</v>
      </c>
      <c r="O130" s="4">
        <f>L130*O115</f>
        <v>963.27956544801975</v>
      </c>
      <c r="P130" s="4">
        <f>K130*P115</f>
        <v>683.84267072558634</v>
      </c>
      <c r="Q130" s="4">
        <f>K130*Q115</f>
        <v>107.9751585356189</v>
      </c>
      <c r="R130" s="4">
        <f>K130*R115</f>
        <v>71.98343902374593</v>
      </c>
      <c r="S130" s="4">
        <f>K130*S115</f>
        <v>35.991719511872965</v>
      </c>
      <c r="T130" s="4">
        <f>K130*T115</f>
        <v>35.991719511872965</v>
      </c>
      <c r="U130" s="4">
        <f>SUM(M130:T130)</f>
        <v>8888.76067630744</v>
      </c>
      <c r="V130" s="4">
        <f>U130*V115</f>
        <v>1333.314101446116</v>
      </c>
      <c r="W130" s="5">
        <f>U130+V130</f>
        <v>10222.074777753556</v>
      </c>
    </row>
    <row r="137" spans="1:23" ht="21" x14ac:dyDescent="0.35">
      <c r="H137" s="16">
        <f>H138/G138</f>
        <v>60.629921259842526</v>
      </c>
      <c r="I137" s="16">
        <f>I138/G138</f>
        <v>30.905511811023622</v>
      </c>
      <c r="J137" s="16">
        <f>J138/G138</f>
        <v>39.370078740157481</v>
      </c>
      <c r="K137" s="12" t="s">
        <v>37</v>
      </c>
      <c r="L137" s="11"/>
      <c r="M137" s="11"/>
      <c r="N137" s="11"/>
      <c r="O137" s="11"/>
    </row>
    <row r="138" spans="1:23" ht="18.75" x14ac:dyDescent="0.3">
      <c r="A138" s="1">
        <v>6</v>
      </c>
      <c r="B138" s="1"/>
      <c r="C138" s="1"/>
      <c r="D138" s="1"/>
      <c r="E138" s="1"/>
      <c r="F138" s="1"/>
      <c r="G138" s="1">
        <v>25.4</v>
      </c>
      <c r="H138" s="10">
        <v>1540</v>
      </c>
      <c r="I138" s="10">
        <v>785</v>
      </c>
      <c r="J138" s="10">
        <v>1000</v>
      </c>
      <c r="K138" s="10" t="s">
        <v>24</v>
      </c>
      <c r="L138" s="10">
        <v>9</v>
      </c>
      <c r="M138" s="10" t="s">
        <v>38</v>
      </c>
      <c r="N138" s="10" t="s">
        <v>24</v>
      </c>
      <c r="O138" s="13"/>
      <c r="P138" s="8"/>
      <c r="Q138" s="9"/>
      <c r="R138" s="1"/>
      <c r="S138" s="1"/>
      <c r="T138" s="1"/>
      <c r="U138" s="1"/>
      <c r="V138" s="1"/>
      <c r="W138" s="1"/>
    </row>
    <row r="139" spans="1:23" ht="15.75" x14ac:dyDescent="0.25">
      <c r="A139" s="4" t="s">
        <v>6</v>
      </c>
      <c r="B139" s="4" t="s">
        <v>7</v>
      </c>
      <c r="C139" s="4" t="s">
        <v>8</v>
      </c>
      <c r="D139" s="4" t="s">
        <v>19</v>
      </c>
      <c r="E139" s="4" t="s">
        <v>9</v>
      </c>
      <c r="F139" s="4" t="s">
        <v>20</v>
      </c>
      <c r="G139" s="4" t="s">
        <v>21</v>
      </c>
      <c r="H139" s="4" t="s">
        <v>1</v>
      </c>
      <c r="I139" s="4" t="s">
        <v>10</v>
      </c>
      <c r="J139" s="4" t="s">
        <v>25</v>
      </c>
      <c r="K139" s="4" t="s">
        <v>32</v>
      </c>
      <c r="L139" s="4" t="s">
        <v>32</v>
      </c>
      <c r="M139" s="4" t="s">
        <v>31</v>
      </c>
      <c r="N139" s="4" t="s">
        <v>11</v>
      </c>
      <c r="O139" s="4" t="s">
        <v>33</v>
      </c>
      <c r="P139" s="4" t="s">
        <v>12</v>
      </c>
      <c r="Q139" s="4" t="s">
        <v>13</v>
      </c>
      <c r="R139" s="4" t="s">
        <v>34</v>
      </c>
      <c r="S139" s="4" t="s">
        <v>35</v>
      </c>
      <c r="T139" s="4" t="s">
        <v>36</v>
      </c>
      <c r="U139" s="4" t="s">
        <v>0</v>
      </c>
      <c r="V139" s="4" t="s">
        <v>14</v>
      </c>
      <c r="W139" s="4" t="s">
        <v>15</v>
      </c>
    </row>
    <row r="140" spans="1:23" ht="15.75" x14ac:dyDescent="0.25">
      <c r="A140" s="2">
        <v>1</v>
      </c>
      <c r="B140" s="2" t="s">
        <v>18</v>
      </c>
      <c r="C140" s="2" t="s">
        <v>26</v>
      </c>
      <c r="D140" s="2" t="s">
        <v>2</v>
      </c>
      <c r="E140" s="2">
        <f>H138+100</f>
        <v>1640</v>
      </c>
      <c r="F140" s="2">
        <f>I138+80</f>
        <v>865</v>
      </c>
      <c r="G140" s="2"/>
      <c r="H140" s="2">
        <v>2</v>
      </c>
      <c r="I140" s="2"/>
      <c r="J140" s="15">
        <f>E140*F140*H140/304.8/304.8</f>
        <v>30.539366634288822</v>
      </c>
      <c r="K140" s="4">
        <f>I155*10%</f>
        <v>0.34759520160626783</v>
      </c>
      <c r="L140" s="4">
        <f>J155*10%</f>
        <v>8.4832530776172668</v>
      </c>
      <c r="M140" s="4">
        <v>38</v>
      </c>
      <c r="N140" s="4">
        <v>925</v>
      </c>
      <c r="O140" s="4">
        <v>10</v>
      </c>
      <c r="P140" s="4">
        <v>190</v>
      </c>
      <c r="Q140" s="4">
        <v>30</v>
      </c>
      <c r="R140" s="4">
        <v>20</v>
      </c>
      <c r="S140" s="4">
        <v>10</v>
      </c>
      <c r="T140" s="4">
        <v>10</v>
      </c>
      <c r="U140" s="4"/>
      <c r="V140" s="14">
        <v>0.15</v>
      </c>
      <c r="W140" s="4"/>
    </row>
    <row r="141" spans="1:23" ht="15.75" x14ac:dyDescent="0.25">
      <c r="A141" s="2">
        <v>2</v>
      </c>
      <c r="B141" s="2" t="s">
        <v>18</v>
      </c>
      <c r="C141" s="2" t="s">
        <v>26</v>
      </c>
      <c r="D141" s="2" t="s">
        <v>3</v>
      </c>
      <c r="E141" s="2">
        <f>H138+100</f>
        <v>1640</v>
      </c>
      <c r="F141" s="2">
        <f>J138+40</f>
        <v>1040</v>
      </c>
      <c r="G141" s="2"/>
      <c r="H141" s="2">
        <v>2</v>
      </c>
      <c r="I141" s="2"/>
      <c r="J141" s="15">
        <f>E141*F141*H141/304.8/304.8</f>
        <v>36.717851213480202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15.75" x14ac:dyDescent="0.25">
      <c r="A142" s="2">
        <v>3</v>
      </c>
      <c r="B142" s="2" t="s">
        <v>18</v>
      </c>
      <c r="C142" s="2" t="s">
        <v>26</v>
      </c>
      <c r="D142" s="2" t="s">
        <v>4</v>
      </c>
      <c r="E142" s="2">
        <f>I138</f>
        <v>785</v>
      </c>
      <c r="F142" s="2">
        <f>J138+40</f>
        <v>1040</v>
      </c>
      <c r="G142" s="2"/>
      <c r="H142" s="2">
        <v>2</v>
      </c>
      <c r="I142" s="2"/>
      <c r="J142" s="15">
        <f>E142*F142*H142/304.8/304.8</f>
        <v>17.575312928403633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15.75" x14ac:dyDescent="0.25">
      <c r="A143" s="2">
        <v>5</v>
      </c>
      <c r="B143" s="2" t="s">
        <v>18</v>
      </c>
      <c r="C143" s="2" t="s">
        <v>17</v>
      </c>
      <c r="D143" s="2" t="s">
        <v>16</v>
      </c>
      <c r="E143" s="2">
        <f>H138+100</f>
        <v>1640</v>
      </c>
      <c r="F143" s="2">
        <v>100</v>
      </c>
      <c r="G143" s="2">
        <v>19</v>
      </c>
      <c r="H143" s="2">
        <v>2</v>
      </c>
      <c r="I143" s="2">
        <f t="shared" ref="I143:I153" si="14">E143*F143*G143*H143/304.8/304.8/304.8</f>
        <v>0.22008100300831687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15.75" x14ac:dyDescent="0.25">
      <c r="A144" s="2">
        <v>6</v>
      </c>
      <c r="B144" s="2" t="s">
        <v>18</v>
      </c>
      <c r="C144" s="2" t="s">
        <v>17</v>
      </c>
      <c r="D144" s="2" t="s">
        <v>27</v>
      </c>
      <c r="E144" s="2">
        <f>I138+80</f>
        <v>865</v>
      </c>
      <c r="F144" s="2">
        <v>100</v>
      </c>
      <c r="G144" s="2">
        <v>19</v>
      </c>
      <c r="H144" s="2">
        <v>4</v>
      </c>
      <c r="I144" s="2">
        <f t="shared" si="14"/>
        <v>0.23215861902706597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x14ac:dyDescent="0.25">
      <c r="A145" s="2">
        <v>6</v>
      </c>
      <c r="B145" s="2" t="s">
        <v>18</v>
      </c>
      <c r="C145" s="2" t="s">
        <v>17</v>
      </c>
      <c r="D145" s="2" t="s">
        <v>28</v>
      </c>
      <c r="E145" s="2">
        <f>H138+100</f>
        <v>1640</v>
      </c>
      <c r="F145" s="2">
        <v>100</v>
      </c>
      <c r="G145" s="2">
        <v>19</v>
      </c>
      <c r="H145" s="2">
        <v>5</v>
      </c>
      <c r="I145" s="2">
        <f t="shared" si="14"/>
        <v>0.55020250752079214</v>
      </c>
      <c r="J145" s="2"/>
      <c r="K145" s="2"/>
      <c r="L145" s="2"/>
      <c r="M145" s="2"/>
      <c r="N145" s="2"/>
      <c r="O145" s="2"/>
      <c r="P145" s="2"/>
      <c r="Q145" s="6"/>
      <c r="R145" s="6"/>
      <c r="S145" s="6"/>
      <c r="T145" s="6"/>
      <c r="U145" s="6"/>
      <c r="V145" s="7"/>
      <c r="W145" s="6"/>
    </row>
    <row r="146" spans="1:23" x14ac:dyDescent="0.25">
      <c r="A146" s="2">
        <v>6</v>
      </c>
      <c r="B146" s="2" t="s">
        <v>18</v>
      </c>
      <c r="C146" s="2" t="s">
        <v>17</v>
      </c>
      <c r="D146" s="2" t="s">
        <v>28</v>
      </c>
      <c r="E146" s="2">
        <f>I138+80</f>
        <v>865</v>
      </c>
      <c r="F146" s="2">
        <v>100</v>
      </c>
      <c r="G146" s="2">
        <v>19</v>
      </c>
      <c r="H146" s="2">
        <v>4</v>
      </c>
      <c r="I146" s="2">
        <f t="shared" si="14"/>
        <v>0.23215861902706597</v>
      </c>
      <c r="J146" s="2"/>
      <c r="K146" s="2"/>
      <c r="L146" s="2"/>
      <c r="M146" s="2"/>
      <c r="N146" s="2"/>
      <c r="O146" s="2"/>
      <c r="P146" s="2"/>
      <c r="Q146" s="6"/>
      <c r="R146" s="6"/>
      <c r="S146" s="6"/>
      <c r="T146" s="6"/>
      <c r="U146" s="6"/>
      <c r="V146" s="6"/>
      <c r="W146" s="6"/>
    </row>
    <row r="147" spans="1:23" x14ac:dyDescent="0.25">
      <c r="A147" s="2">
        <v>3</v>
      </c>
      <c r="B147" s="2" t="s">
        <v>18</v>
      </c>
      <c r="C147" s="2" t="s">
        <v>17</v>
      </c>
      <c r="D147" s="2" t="s">
        <v>29</v>
      </c>
      <c r="E147" s="2">
        <f>I138+80</f>
        <v>865</v>
      </c>
      <c r="F147" s="2">
        <v>100</v>
      </c>
      <c r="G147" s="2">
        <v>19</v>
      </c>
      <c r="H147" s="2">
        <v>4</v>
      </c>
      <c r="I147" s="2">
        <f t="shared" ref="I147" si="15">E147*F147*G147*H147/304.8/304.8/304.8</f>
        <v>0.23215861902706597</v>
      </c>
      <c r="J147" s="2"/>
      <c r="K147" s="2"/>
      <c r="L147" s="2"/>
      <c r="M147" s="2"/>
      <c r="N147" s="2"/>
      <c r="O147" s="2"/>
      <c r="P147" s="2"/>
      <c r="Q147" s="6"/>
      <c r="R147" s="6"/>
      <c r="S147" s="6"/>
      <c r="T147" s="6"/>
      <c r="U147" s="6"/>
      <c r="V147" s="6"/>
      <c r="W147" s="6"/>
    </row>
    <row r="148" spans="1:23" x14ac:dyDescent="0.25">
      <c r="A148" s="2">
        <v>3</v>
      </c>
      <c r="B148" s="2" t="s">
        <v>18</v>
      </c>
      <c r="C148" s="2" t="s">
        <v>17</v>
      </c>
      <c r="D148" s="2" t="s">
        <v>29</v>
      </c>
      <c r="E148" s="2">
        <f>I138+80</f>
        <v>865</v>
      </c>
      <c r="F148" s="2">
        <v>100</v>
      </c>
      <c r="G148" s="2">
        <v>19</v>
      </c>
      <c r="H148" s="2">
        <v>0</v>
      </c>
      <c r="I148" s="2">
        <f t="shared" si="14"/>
        <v>0</v>
      </c>
      <c r="J148" s="2"/>
      <c r="K148" s="2"/>
      <c r="L148" s="2"/>
      <c r="M148" s="2"/>
      <c r="N148" s="2"/>
      <c r="O148" s="2"/>
      <c r="P148" s="2"/>
      <c r="Q148" s="6"/>
      <c r="R148" s="6"/>
      <c r="S148" s="6"/>
      <c r="T148" s="6"/>
      <c r="U148" s="6"/>
      <c r="V148" s="6"/>
      <c r="W148" s="6"/>
    </row>
    <row r="149" spans="1:23" x14ac:dyDescent="0.25">
      <c r="A149" s="2">
        <v>6</v>
      </c>
      <c r="B149" s="2" t="s">
        <v>18</v>
      </c>
      <c r="C149" s="2" t="s">
        <v>17</v>
      </c>
      <c r="D149" s="2" t="s">
        <v>5</v>
      </c>
      <c r="E149" s="2">
        <f>H138+100</f>
        <v>1640</v>
      </c>
      <c r="F149" s="2">
        <v>100</v>
      </c>
      <c r="G149" s="2">
        <v>19</v>
      </c>
      <c r="H149" s="2">
        <v>4</v>
      </c>
      <c r="I149" s="2">
        <f t="shared" si="14"/>
        <v>0.44016200601663374</v>
      </c>
      <c r="J149" s="2"/>
      <c r="K149" s="2"/>
      <c r="L149" s="2"/>
      <c r="M149" s="2"/>
      <c r="N149" s="2"/>
      <c r="O149" s="2"/>
      <c r="P149" s="2"/>
      <c r="Q149" s="6"/>
      <c r="R149" s="6"/>
      <c r="S149" s="6"/>
      <c r="T149" s="6"/>
      <c r="U149" s="6"/>
      <c r="V149" s="6"/>
      <c r="W149" s="6"/>
    </row>
    <row r="150" spans="1:23" x14ac:dyDescent="0.25">
      <c r="A150" s="2">
        <v>6</v>
      </c>
      <c r="B150" s="2" t="s">
        <v>18</v>
      </c>
      <c r="C150" s="2" t="s">
        <v>17</v>
      </c>
      <c r="D150" s="2" t="s">
        <v>30</v>
      </c>
      <c r="E150" s="2">
        <f>J138+40</f>
        <v>1040</v>
      </c>
      <c r="F150" s="2">
        <v>100</v>
      </c>
      <c r="G150" s="2">
        <v>19</v>
      </c>
      <c r="H150" s="2">
        <v>8</v>
      </c>
      <c r="I150" s="2">
        <f t="shared" si="14"/>
        <v>0.55825425153329145</v>
      </c>
      <c r="J150" s="2"/>
      <c r="K150" s="2"/>
      <c r="L150" s="2"/>
      <c r="M150" s="2"/>
      <c r="N150" s="2"/>
      <c r="O150" s="2"/>
      <c r="P150" s="2"/>
      <c r="Q150" s="6"/>
      <c r="R150" s="6"/>
      <c r="S150" s="6"/>
      <c r="T150" s="6"/>
      <c r="U150" s="6"/>
      <c r="V150" s="6"/>
      <c r="W150" s="6"/>
    </row>
    <row r="151" spans="1:23" x14ac:dyDescent="0.25">
      <c r="A151" s="2">
        <v>6</v>
      </c>
      <c r="B151" s="2" t="s">
        <v>18</v>
      </c>
      <c r="C151" s="2" t="s">
        <v>17</v>
      </c>
      <c r="D151" s="2" t="s">
        <v>22</v>
      </c>
      <c r="E151" s="2">
        <f>I138</f>
        <v>785</v>
      </c>
      <c r="F151" s="2">
        <v>100</v>
      </c>
      <c r="G151" s="2">
        <v>19</v>
      </c>
      <c r="H151" s="2">
        <v>4</v>
      </c>
      <c r="I151" s="2">
        <f t="shared" si="14"/>
        <v>0.21068730166040089</v>
      </c>
      <c r="J151" s="2"/>
      <c r="K151" s="2"/>
      <c r="L151" s="2"/>
      <c r="M151" s="2"/>
      <c r="N151" s="2"/>
      <c r="O151" s="2"/>
      <c r="P151" s="2"/>
      <c r="Q151" s="6"/>
      <c r="R151" s="6"/>
      <c r="S151" s="6"/>
      <c r="T151" s="6"/>
      <c r="U151" s="6"/>
      <c r="V151" s="6"/>
      <c r="W151" s="6"/>
    </row>
    <row r="152" spans="1:23" x14ac:dyDescent="0.25">
      <c r="A152" s="2">
        <v>4</v>
      </c>
      <c r="B152" s="2" t="s">
        <v>18</v>
      </c>
      <c r="C152" s="2" t="s">
        <v>17</v>
      </c>
      <c r="D152" s="2" t="s">
        <v>23</v>
      </c>
      <c r="E152" s="2">
        <f>J138+40</f>
        <v>1040</v>
      </c>
      <c r="F152" s="2">
        <v>100</v>
      </c>
      <c r="G152" s="2">
        <v>19</v>
      </c>
      <c r="H152" s="2">
        <v>6</v>
      </c>
      <c r="I152" s="2">
        <f t="shared" si="14"/>
        <v>0.41869068864996867</v>
      </c>
      <c r="J152" s="2"/>
      <c r="K152" s="2"/>
      <c r="L152" s="2"/>
      <c r="M152" s="2"/>
      <c r="N152" s="2"/>
      <c r="O152" s="2"/>
      <c r="P152" s="2"/>
      <c r="Q152" s="6"/>
      <c r="R152" s="6"/>
      <c r="S152" s="6"/>
      <c r="T152" s="6"/>
      <c r="U152" s="6"/>
      <c r="V152" s="6"/>
      <c r="W152" s="6"/>
    </row>
    <row r="153" spans="1:23" x14ac:dyDescent="0.25">
      <c r="A153" s="2">
        <v>6</v>
      </c>
      <c r="B153" s="2" t="s">
        <v>18</v>
      </c>
      <c r="C153" s="2" t="s">
        <v>17</v>
      </c>
      <c r="D153" s="2" t="s">
        <v>22</v>
      </c>
      <c r="E153" s="2">
        <v>100</v>
      </c>
      <c r="F153" s="2">
        <v>100</v>
      </c>
      <c r="G153" s="2">
        <v>90</v>
      </c>
      <c r="H153" s="2">
        <v>12</v>
      </c>
      <c r="I153" s="2">
        <f t="shared" si="14"/>
        <v>0.38139840059207675</v>
      </c>
      <c r="J153" s="2"/>
      <c r="K153" s="2"/>
      <c r="L153" s="2"/>
      <c r="M153" s="2"/>
      <c r="N153" s="2"/>
      <c r="O153" s="2"/>
      <c r="P153" s="2"/>
      <c r="Q153" s="6"/>
      <c r="R153" s="6"/>
      <c r="S153" s="6"/>
      <c r="T153" s="6"/>
      <c r="U153" s="6"/>
      <c r="V153" s="6"/>
      <c r="W153" s="6"/>
    </row>
    <row r="154" spans="1:2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6"/>
      <c r="R154" s="6"/>
      <c r="S154" s="6"/>
      <c r="T154" s="6"/>
      <c r="U154" s="6"/>
      <c r="V154" s="6"/>
      <c r="W154" s="6"/>
    </row>
    <row r="155" spans="1:23" ht="15.75" x14ac:dyDescent="0.25">
      <c r="A155" s="3"/>
      <c r="B155" s="3"/>
      <c r="C155" s="3"/>
      <c r="D155" s="3"/>
      <c r="E155" s="3"/>
      <c r="F155" s="3"/>
      <c r="G155" s="3"/>
      <c r="H155" s="3"/>
      <c r="I155" s="4">
        <f>SUM(I143:I154)</f>
        <v>3.4759520160626782</v>
      </c>
      <c r="J155" s="4">
        <f>SUM(J140:J154)</f>
        <v>84.832530776172661</v>
      </c>
      <c r="K155" s="4">
        <f>I155+K140</f>
        <v>3.823547217668946</v>
      </c>
      <c r="L155" s="4">
        <f>J155+L140</f>
        <v>93.315783853789924</v>
      </c>
      <c r="M155" s="4">
        <f>L155*M140</f>
        <v>3545.999786444017</v>
      </c>
      <c r="N155" s="4">
        <f>K155*N140</f>
        <v>3536.7811763437749</v>
      </c>
      <c r="O155" s="4">
        <f>L155*O140</f>
        <v>933.15783853789924</v>
      </c>
      <c r="P155" s="4">
        <f>K155*P140</f>
        <v>726.47397135709969</v>
      </c>
      <c r="Q155" s="4">
        <f>K155*Q140</f>
        <v>114.70641653006838</v>
      </c>
      <c r="R155" s="4">
        <f>K155*R140</f>
        <v>76.470944353378925</v>
      </c>
      <c r="S155" s="4">
        <f>K155*S140</f>
        <v>38.235472176689463</v>
      </c>
      <c r="T155" s="4">
        <f>K155*T140</f>
        <v>38.235472176689463</v>
      </c>
      <c r="U155" s="4">
        <f>SUM(M155:T155)</f>
        <v>9010.0610779196177</v>
      </c>
      <c r="V155" s="4">
        <f>U155*V140</f>
        <v>1351.5091616879427</v>
      </c>
      <c r="W155" s="5">
        <f>U155+V155</f>
        <v>10361.570239607561</v>
      </c>
    </row>
    <row r="163" spans="1:23" ht="21" x14ac:dyDescent="0.35">
      <c r="H163" s="16">
        <f>H164/G164</f>
        <v>68.110236220472444</v>
      </c>
      <c r="I163" s="16">
        <f>I164/G164</f>
        <v>30.905511811023622</v>
      </c>
      <c r="J163" s="16">
        <f>J164/G164</f>
        <v>39.370078740157481</v>
      </c>
      <c r="K163" s="12" t="s">
        <v>37</v>
      </c>
      <c r="L163" s="11"/>
      <c r="M163" s="11"/>
      <c r="N163" s="11"/>
      <c r="O163" s="11"/>
    </row>
    <row r="164" spans="1:23" ht="18.75" x14ac:dyDescent="0.3">
      <c r="A164" s="1">
        <v>7</v>
      </c>
      <c r="B164" s="1"/>
      <c r="C164" s="1"/>
      <c r="D164" s="1"/>
      <c r="E164" s="1"/>
      <c r="F164" s="1"/>
      <c r="G164" s="1">
        <v>25.4</v>
      </c>
      <c r="H164" s="10">
        <v>1730</v>
      </c>
      <c r="I164" s="10">
        <v>785</v>
      </c>
      <c r="J164" s="10">
        <v>1000</v>
      </c>
      <c r="K164" s="10" t="s">
        <v>24</v>
      </c>
      <c r="L164" s="10">
        <v>12</v>
      </c>
      <c r="M164" s="10" t="s">
        <v>38</v>
      </c>
      <c r="N164" s="10" t="s">
        <v>24</v>
      </c>
      <c r="O164" s="13"/>
      <c r="P164" s="8"/>
      <c r="Q164" s="9"/>
      <c r="R164" s="1"/>
      <c r="S164" s="1"/>
      <c r="T164" s="1"/>
      <c r="U164" s="1"/>
      <c r="V164" s="1"/>
      <c r="W164" s="1"/>
    </row>
    <row r="165" spans="1:23" ht="15.75" x14ac:dyDescent="0.25">
      <c r="A165" s="4" t="s">
        <v>6</v>
      </c>
      <c r="B165" s="4" t="s">
        <v>7</v>
      </c>
      <c r="C165" s="4" t="s">
        <v>8</v>
      </c>
      <c r="D165" s="4" t="s">
        <v>19</v>
      </c>
      <c r="E165" s="4" t="s">
        <v>9</v>
      </c>
      <c r="F165" s="4" t="s">
        <v>20</v>
      </c>
      <c r="G165" s="4" t="s">
        <v>21</v>
      </c>
      <c r="H165" s="4" t="s">
        <v>1</v>
      </c>
      <c r="I165" s="4" t="s">
        <v>10</v>
      </c>
      <c r="J165" s="4" t="s">
        <v>25</v>
      </c>
      <c r="K165" s="4" t="s">
        <v>32</v>
      </c>
      <c r="L165" s="4" t="s">
        <v>32</v>
      </c>
      <c r="M165" s="4" t="s">
        <v>31</v>
      </c>
      <c r="N165" s="4" t="s">
        <v>11</v>
      </c>
      <c r="O165" s="4" t="s">
        <v>33</v>
      </c>
      <c r="P165" s="4" t="s">
        <v>12</v>
      </c>
      <c r="Q165" s="4" t="s">
        <v>13</v>
      </c>
      <c r="R165" s="4" t="s">
        <v>34</v>
      </c>
      <c r="S165" s="4" t="s">
        <v>35</v>
      </c>
      <c r="T165" s="4" t="s">
        <v>36</v>
      </c>
      <c r="U165" s="4" t="s">
        <v>0</v>
      </c>
      <c r="V165" s="4" t="s">
        <v>14</v>
      </c>
      <c r="W165" s="4" t="s">
        <v>15</v>
      </c>
    </row>
    <row r="166" spans="1:23" ht="15.75" x14ac:dyDescent="0.25">
      <c r="A166" s="2">
        <v>1</v>
      </c>
      <c r="B166" s="2" t="s">
        <v>18</v>
      </c>
      <c r="C166" s="2" t="s">
        <v>26</v>
      </c>
      <c r="D166" s="2" t="s">
        <v>2</v>
      </c>
      <c r="E166" s="2">
        <f>H164+100</f>
        <v>1830</v>
      </c>
      <c r="F166" s="2">
        <f>I164+80</f>
        <v>865</v>
      </c>
      <c r="G166" s="2"/>
      <c r="H166" s="2">
        <v>2</v>
      </c>
      <c r="I166" s="2"/>
      <c r="J166" s="15">
        <f>E166*F166*H166/304.8/304.8</f>
        <v>34.077463988261307</v>
      </c>
      <c r="K166" s="4">
        <f>I180*10%</f>
        <v>0.36161865576137098</v>
      </c>
      <c r="L166" s="4">
        <f>J180*10%</f>
        <v>9.2624525526828823</v>
      </c>
      <c r="M166" s="4">
        <v>38</v>
      </c>
      <c r="N166" s="4">
        <v>925</v>
      </c>
      <c r="O166" s="4">
        <v>10</v>
      </c>
      <c r="P166" s="4">
        <v>190</v>
      </c>
      <c r="Q166" s="4">
        <v>30</v>
      </c>
      <c r="R166" s="4">
        <v>20</v>
      </c>
      <c r="S166" s="4">
        <v>10</v>
      </c>
      <c r="T166" s="4">
        <v>10</v>
      </c>
      <c r="U166" s="4"/>
      <c r="V166" s="14">
        <v>0.15</v>
      </c>
      <c r="W166" s="4"/>
    </row>
    <row r="167" spans="1:23" ht="15.75" x14ac:dyDescent="0.25">
      <c r="A167" s="2">
        <v>2</v>
      </c>
      <c r="B167" s="2" t="s">
        <v>18</v>
      </c>
      <c r="C167" s="2" t="s">
        <v>26</v>
      </c>
      <c r="D167" s="2" t="s">
        <v>3</v>
      </c>
      <c r="E167" s="2">
        <f>H164+100</f>
        <v>1830</v>
      </c>
      <c r="F167" s="2">
        <f>J164+40</f>
        <v>1040</v>
      </c>
      <c r="G167" s="2"/>
      <c r="H167" s="2">
        <v>2</v>
      </c>
      <c r="I167" s="2"/>
      <c r="J167" s="15">
        <f>E167*F167*H167/304.8/304.8</f>
        <v>40.971748610163885</v>
      </c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15.75" x14ac:dyDescent="0.25">
      <c r="A168" s="2">
        <v>3</v>
      </c>
      <c r="B168" s="2" t="s">
        <v>18</v>
      </c>
      <c r="C168" s="2" t="s">
        <v>26</v>
      </c>
      <c r="D168" s="2" t="s">
        <v>4</v>
      </c>
      <c r="E168" s="2">
        <f>I164</f>
        <v>785</v>
      </c>
      <c r="F168" s="2">
        <f>J164+40</f>
        <v>1040</v>
      </c>
      <c r="G168" s="2"/>
      <c r="H168" s="2">
        <v>2</v>
      </c>
      <c r="I168" s="2"/>
      <c r="J168" s="15">
        <f>E168*F168*H168/304.8/304.8</f>
        <v>17.575312928403633</v>
      </c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15.75" x14ac:dyDescent="0.25">
      <c r="A169" s="2">
        <v>5</v>
      </c>
      <c r="B169" s="2" t="s">
        <v>18</v>
      </c>
      <c r="C169" s="2" t="s">
        <v>17</v>
      </c>
      <c r="D169" s="2" t="s">
        <v>16</v>
      </c>
      <c r="E169" s="2">
        <f>H164+100</f>
        <v>1830</v>
      </c>
      <c r="F169" s="2">
        <v>100</v>
      </c>
      <c r="G169" s="2">
        <v>19</v>
      </c>
      <c r="H169" s="2">
        <v>2</v>
      </c>
      <c r="I169" s="2">
        <f t="shared" ref="I169:I178" si="16">E169*F169*G169*H169/304.8/304.8/304.8</f>
        <v>0.2455781923812316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15.75" x14ac:dyDescent="0.25">
      <c r="A170" s="2">
        <v>6</v>
      </c>
      <c r="B170" s="2" t="s">
        <v>18</v>
      </c>
      <c r="C170" s="2" t="s">
        <v>17</v>
      </c>
      <c r="D170" s="2" t="s">
        <v>27</v>
      </c>
      <c r="E170" s="2">
        <f>I164+80</f>
        <v>865</v>
      </c>
      <c r="F170" s="2">
        <v>100</v>
      </c>
      <c r="G170" s="2">
        <v>19</v>
      </c>
      <c r="H170" s="2">
        <v>4</v>
      </c>
      <c r="I170" s="2">
        <f t="shared" si="16"/>
        <v>0.23215861902706597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x14ac:dyDescent="0.25">
      <c r="A171" s="2">
        <v>6</v>
      </c>
      <c r="B171" s="2" t="s">
        <v>18</v>
      </c>
      <c r="C171" s="2" t="s">
        <v>17</v>
      </c>
      <c r="D171" s="2" t="s">
        <v>28</v>
      </c>
      <c r="E171" s="2">
        <f>H164+100</f>
        <v>1830</v>
      </c>
      <c r="F171" s="2">
        <v>100</v>
      </c>
      <c r="G171" s="2">
        <v>19</v>
      </c>
      <c r="H171" s="2">
        <v>5</v>
      </c>
      <c r="I171" s="2">
        <f t="shared" si="16"/>
        <v>0.61394548095307899</v>
      </c>
      <c r="J171" s="2"/>
      <c r="K171" s="2"/>
      <c r="L171" s="2"/>
      <c r="M171" s="2"/>
      <c r="N171" s="2"/>
      <c r="O171" s="2"/>
      <c r="P171" s="2"/>
      <c r="Q171" s="6"/>
      <c r="R171" s="6"/>
      <c r="S171" s="6"/>
      <c r="T171" s="6"/>
      <c r="U171" s="6"/>
      <c r="V171" s="7"/>
      <c r="W171" s="6"/>
    </row>
    <row r="172" spans="1:23" x14ac:dyDescent="0.25">
      <c r="A172" s="2">
        <v>6</v>
      </c>
      <c r="B172" s="2" t="s">
        <v>18</v>
      </c>
      <c r="C172" s="2" t="s">
        <v>17</v>
      </c>
      <c r="D172" s="2" t="s">
        <v>28</v>
      </c>
      <c r="E172" s="2">
        <f>I164+80</f>
        <v>865</v>
      </c>
      <c r="F172" s="2">
        <v>100</v>
      </c>
      <c r="G172" s="2">
        <v>19</v>
      </c>
      <c r="H172" s="2">
        <v>4</v>
      </c>
      <c r="I172" s="2">
        <f t="shared" si="16"/>
        <v>0.23215861902706597</v>
      </c>
      <c r="J172" s="2"/>
      <c r="K172" s="2"/>
      <c r="L172" s="2"/>
      <c r="M172" s="2"/>
      <c r="N172" s="2"/>
      <c r="O172" s="2"/>
      <c r="P172" s="2"/>
      <c r="Q172" s="6"/>
      <c r="R172" s="6"/>
      <c r="S172" s="6"/>
      <c r="T172" s="6"/>
      <c r="U172" s="6"/>
      <c r="V172" s="6"/>
      <c r="W172" s="6"/>
    </row>
    <row r="173" spans="1:23" x14ac:dyDescent="0.25">
      <c r="A173" s="2">
        <v>3</v>
      </c>
      <c r="B173" s="2" t="s">
        <v>18</v>
      </c>
      <c r="C173" s="2" t="s">
        <v>17</v>
      </c>
      <c r="D173" s="2" t="s">
        <v>29</v>
      </c>
      <c r="E173" s="2">
        <f>I164+80</f>
        <v>865</v>
      </c>
      <c r="F173" s="2">
        <v>100</v>
      </c>
      <c r="G173" s="2">
        <v>19</v>
      </c>
      <c r="H173" s="2">
        <v>4</v>
      </c>
      <c r="I173" s="2">
        <f t="shared" si="16"/>
        <v>0.23215861902706597</v>
      </c>
      <c r="J173" s="2"/>
      <c r="K173" s="2"/>
      <c r="L173" s="2"/>
      <c r="M173" s="2"/>
      <c r="N173" s="2"/>
      <c r="O173" s="2"/>
      <c r="P173" s="2"/>
      <c r="Q173" s="6"/>
      <c r="R173" s="6"/>
      <c r="S173" s="6"/>
      <c r="T173" s="6"/>
      <c r="U173" s="6"/>
      <c r="V173" s="6"/>
      <c r="W173" s="6"/>
    </row>
    <row r="174" spans="1:23" x14ac:dyDescent="0.25">
      <c r="A174" s="2">
        <v>6</v>
      </c>
      <c r="B174" s="2" t="s">
        <v>18</v>
      </c>
      <c r="C174" s="2" t="s">
        <v>17</v>
      </c>
      <c r="D174" s="2" t="s">
        <v>5</v>
      </c>
      <c r="E174" s="2">
        <f>H164+100</f>
        <v>1830</v>
      </c>
      <c r="F174" s="2">
        <v>100</v>
      </c>
      <c r="G174" s="2">
        <v>19</v>
      </c>
      <c r="H174" s="2">
        <v>4</v>
      </c>
      <c r="I174" s="2">
        <f t="shared" si="16"/>
        <v>0.49115638476246321</v>
      </c>
      <c r="J174" s="2"/>
      <c r="K174" s="2"/>
      <c r="L174" s="2"/>
      <c r="M174" s="2"/>
      <c r="N174" s="2"/>
      <c r="O174" s="2"/>
      <c r="P174" s="2"/>
      <c r="Q174" s="6"/>
      <c r="R174" s="6"/>
      <c r="S174" s="6"/>
      <c r="T174" s="6"/>
      <c r="U174" s="6"/>
      <c r="V174" s="6"/>
      <c r="W174" s="6"/>
    </row>
    <row r="175" spans="1:23" x14ac:dyDescent="0.25">
      <c r="A175" s="2">
        <v>6</v>
      </c>
      <c r="B175" s="2" t="s">
        <v>18</v>
      </c>
      <c r="C175" s="2" t="s">
        <v>17</v>
      </c>
      <c r="D175" s="2" t="s">
        <v>30</v>
      </c>
      <c r="E175" s="2">
        <f>J164+40</f>
        <v>1040</v>
      </c>
      <c r="F175" s="2">
        <v>100</v>
      </c>
      <c r="G175" s="2">
        <v>19</v>
      </c>
      <c r="H175" s="2">
        <v>8</v>
      </c>
      <c r="I175" s="2">
        <f t="shared" si="16"/>
        <v>0.55825425153329145</v>
      </c>
      <c r="J175" s="2"/>
      <c r="K175" s="2"/>
      <c r="L175" s="2"/>
      <c r="M175" s="2"/>
      <c r="N175" s="2"/>
      <c r="O175" s="2"/>
      <c r="P175" s="2"/>
      <c r="Q175" s="6"/>
      <c r="R175" s="6"/>
      <c r="S175" s="6"/>
      <c r="T175" s="6"/>
      <c r="U175" s="6"/>
      <c r="V175" s="6"/>
      <c r="W175" s="6"/>
    </row>
    <row r="176" spans="1:23" x14ac:dyDescent="0.25">
      <c r="A176" s="2">
        <v>6</v>
      </c>
      <c r="B176" s="2" t="s">
        <v>18</v>
      </c>
      <c r="C176" s="2" t="s">
        <v>17</v>
      </c>
      <c r="D176" s="2" t="s">
        <v>22</v>
      </c>
      <c r="E176" s="2">
        <f>I164</f>
        <v>785</v>
      </c>
      <c r="F176" s="2">
        <v>100</v>
      </c>
      <c r="G176" s="2">
        <v>19</v>
      </c>
      <c r="H176" s="2">
        <v>4</v>
      </c>
      <c r="I176" s="2">
        <f t="shared" si="16"/>
        <v>0.21068730166040089</v>
      </c>
      <c r="J176" s="2"/>
      <c r="K176" s="2"/>
      <c r="L176" s="2"/>
      <c r="M176" s="2"/>
      <c r="N176" s="2"/>
      <c r="O176" s="2"/>
      <c r="P176" s="2"/>
      <c r="Q176" s="6"/>
      <c r="R176" s="6"/>
      <c r="S176" s="6"/>
      <c r="T176" s="6"/>
      <c r="U176" s="6"/>
      <c r="V176" s="6"/>
      <c r="W176" s="6"/>
    </row>
    <row r="177" spans="1:23" x14ac:dyDescent="0.25">
      <c r="A177" s="2">
        <v>4</v>
      </c>
      <c r="B177" s="2" t="s">
        <v>18</v>
      </c>
      <c r="C177" s="2" t="s">
        <v>17</v>
      </c>
      <c r="D177" s="2" t="s">
        <v>23</v>
      </c>
      <c r="E177" s="2">
        <f>J164+40</f>
        <v>1040</v>
      </c>
      <c r="F177" s="2">
        <v>100</v>
      </c>
      <c r="G177" s="2">
        <v>19</v>
      </c>
      <c r="H177" s="2">
        <v>6</v>
      </c>
      <c r="I177" s="2">
        <f t="shared" si="16"/>
        <v>0.41869068864996867</v>
      </c>
      <c r="J177" s="2"/>
      <c r="K177" s="2"/>
      <c r="L177" s="2"/>
      <c r="M177" s="2"/>
      <c r="N177" s="2"/>
      <c r="O177" s="2"/>
      <c r="P177" s="2"/>
      <c r="Q177" s="6"/>
      <c r="R177" s="6"/>
      <c r="S177" s="6"/>
      <c r="T177" s="6"/>
      <c r="U177" s="6"/>
      <c r="V177" s="6"/>
      <c r="W177" s="6"/>
    </row>
    <row r="178" spans="1:23" x14ac:dyDescent="0.25">
      <c r="A178" s="2">
        <v>6</v>
      </c>
      <c r="B178" s="2" t="s">
        <v>18</v>
      </c>
      <c r="C178" s="2" t="s">
        <v>17</v>
      </c>
      <c r="D178" s="2" t="s">
        <v>22</v>
      </c>
      <c r="E178" s="2">
        <v>100</v>
      </c>
      <c r="F178" s="2">
        <v>100</v>
      </c>
      <c r="G178" s="2">
        <v>90</v>
      </c>
      <c r="H178" s="2">
        <f>L164</f>
        <v>12</v>
      </c>
      <c r="I178" s="2">
        <f t="shared" si="16"/>
        <v>0.38139840059207675</v>
      </c>
      <c r="J178" s="2"/>
      <c r="K178" s="2"/>
      <c r="L178" s="2"/>
      <c r="M178" s="2"/>
      <c r="N178" s="2"/>
      <c r="O178" s="2"/>
      <c r="P178" s="2"/>
      <c r="Q178" s="6"/>
      <c r="R178" s="6"/>
      <c r="S178" s="6"/>
      <c r="T178" s="6"/>
      <c r="U178" s="6"/>
      <c r="V178" s="6"/>
      <c r="W178" s="6"/>
    </row>
    <row r="179" spans="1:2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6"/>
      <c r="R179" s="6"/>
      <c r="S179" s="6"/>
      <c r="T179" s="6"/>
      <c r="U179" s="6"/>
      <c r="V179" s="6"/>
      <c r="W179" s="6"/>
    </row>
    <row r="180" spans="1:23" ht="15.75" x14ac:dyDescent="0.25">
      <c r="A180" s="3"/>
      <c r="B180" s="3"/>
      <c r="C180" s="3"/>
      <c r="D180" s="3"/>
      <c r="E180" s="3"/>
      <c r="F180" s="3"/>
      <c r="G180" s="3"/>
      <c r="H180" s="3"/>
      <c r="I180" s="4">
        <f>SUM(I169:I179)</f>
        <v>3.6161865576137093</v>
      </c>
      <c r="J180" s="4">
        <f>SUM(J166:J179)</f>
        <v>92.624525526828819</v>
      </c>
      <c r="K180" s="4">
        <f>I180+K166</f>
        <v>3.9778052133750803</v>
      </c>
      <c r="L180" s="4">
        <f>J180+L166</f>
        <v>101.88697807951171</v>
      </c>
      <c r="M180" s="4">
        <f>L180*M166</f>
        <v>3871.705167021445</v>
      </c>
      <c r="N180" s="4">
        <f>K180*N166</f>
        <v>3679.4698223719492</v>
      </c>
      <c r="O180" s="4">
        <f>L180*O166</f>
        <v>1018.8697807951171</v>
      </c>
      <c r="P180" s="4">
        <f>K180*P166</f>
        <v>755.78299054126524</v>
      </c>
      <c r="Q180" s="4">
        <f>K180*Q166</f>
        <v>119.33415640125241</v>
      </c>
      <c r="R180" s="4">
        <f>K180*R166</f>
        <v>79.55610426750161</v>
      </c>
      <c r="S180" s="4">
        <f>K180*S166</f>
        <v>39.778052133750805</v>
      </c>
      <c r="T180" s="4">
        <f>K180*T166</f>
        <v>39.778052133750805</v>
      </c>
      <c r="U180" s="4">
        <f>SUM(M180:T180)</f>
        <v>9604.2741256660302</v>
      </c>
      <c r="V180" s="4">
        <f>U180*V166</f>
        <v>1440.6411188499044</v>
      </c>
      <c r="W180" s="5">
        <f>U180+V180</f>
        <v>11044.915244515934</v>
      </c>
    </row>
    <row r="188" spans="1:23" ht="21" x14ac:dyDescent="0.35">
      <c r="H188" s="16">
        <f>H189/G189</f>
        <v>75.59055118110237</v>
      </c>
      <c r="I188" s="16">
        <f>I189/G189</f>
        <v>30.905511811023622</v>
      </c>
      <c r="J188" s="16">
        <f>J189/G189</f>
        <v>39.370078740157481</v>
      </c>
      <c r="K188" s="12" t="s">
        <v>37</v>
      </c>
      <c r="L188" s="11"/>
      <c r="M188" s="11"/>
      <c r="N188" s="11"/>
      <c r="O188" s="11"/>
    </row>
    <row r="189" spans="1:23" ht="18.75" x14ac:dyDescent="0.3">
      <c r="A189" s="1">
        <v>8</v>
      </c>
      <c r="B189" s="1"/>
      <c r="C189" s="1"/>
      <c r="D189" s="1"/>
      <c r="E189" s="1"/>
      <c r="F189" s="1"/>
      <c r="G189" s="1">
        <v>25.4</v>
      </c>
      <c r="H189" s="10">
        <v>1920</v>
      </c>
      <c r="I189" s="10">
        <v>785</v>
      </c>
      <c r="J189" s="10">
        <v>1000</v>
      </c>
      <c r="K189" s="10" t="s">
        <v>24</v>
      </c>
      <c r="L189" s="10">
        <v>12</v>
      </c>
      <c r="M189" s="10" t="s">
        <v>38</v>
      </c>
      <c r="N189" s="10" t="s">
        <v>24</v>
      </c>
      <c r="O189" s="13"/>
      <c r="P189" s="8"/>
      <c r="Q189" s="9"/>
      <c r="R189" s="1"/>
      <c r="S189" s="1"/>
      <c r="T189" s="1"/>
      <c r="U189" s="1"/>
      <c r="V189" s="1"/>
      <c r="W189" s="1"/>
    </row>
    <row r="190" spans="1:23" ht="15.75" x14ac:dyDescent="0.25">
      <c r="A190" s="4" t="s">
        <v>6</v>
      </c>
      <c r="B190" s="4" t="s">
        <v>7</v>
      </c>
      <c r="C190" s="4" t="s">
        <v>8</v>
      </c>
      <c r="D190" s="4" t="s">
        <v>19</v>
      </c>
      <c r="E190" s="4" t="s">
        <v>9</v>
      </c>
      <c r="F190" s="4" t="s">
        <v>20</v>
      </c>
      <c r="G190" s="4" t="s">
        <v>21</v>
      </c>
      <c r="H190" s="4" t="s">
        <v>1</v>
      </c>
      <c r="I190" s="4" t="s">
        <v>10</v>
      </c>
      <c r="J190" s="4" t="s">
        <v>25</v>
      </c>
      <c r="K190" s="4" t="s">
        <v>32</v>
      </c>
      <c r="L190" s="4" t="s">
        <v>32</v>
      </c>
      <c r="M190" s="4" t="s">
        <v>31</v>
      </c>
      <c r="N190" s="4" t="s">
        <v>11</v>
      </c>
      <c r="O190" s="4" t="s">
        <v>33</v>
      </c>
      <c r="P190" s="4" t="s">
        <v>12</v>
      </c>
      <c r="Q190" s="4" t="s">
        <v>13</v>
      </c>
      <c r="R190" s="4" t="s">
        <v>34</v>
      </c>
      <c r="S190" s="4" t="s">
        <v>35</v>
      </c>
      <c r="T190" s="4" t="s">
        <v>36</v>
      </c>
      <c r="U190" s="4" t="s">
        <v>0</v>
      </c>
      <c r="V190" s="4" t="s">
        <v>14</v>
      </c>
      <c r="W190" s="4" t="s">
        <v>15</v>
      </c>
    </row>
    <row r="191" spans="1:23" ht="15.75" x14ac:dyDescent="0.25">
      <c r="A191" s="2">
        <v>1</v>
      </c>
      <c r="B191" s="2" t="s">
        <v>18</v>
      </c>
      <c r="C191" s="2" t="s">
        <v>26</v>
      </c>
      <c r="D191" s="2" t="s">
        <v>2</v>
      </c>
      <c r="E191" s="2">
        <f>H189+100</f>
        <v>2020</v>
      </c>
      <c r="F191" s="2">
        <f>I189+80</f>
        <v>865</v>
      </c>
      <c r="G191" s="2"/>
      <c r="H191" s="2">
        <v>2</v>
      </c>
      <c r="I191" s="2"/>
      <c r="J191" s="15">
        <f>E191*F191*H191/304.8/304.8</f>
        <v>37.615561342233796</v>
      </c>
      <c r="K191" s="4">
        <f>I206*5%</f>
        <v>0.18782105495823703</v>
      </c>
      <c r="L191" s="4">
        <f>J206*5%</f>
        <v>5.0208260138742506</v>
      </c>
      <c r="M191" s="4">
        <v>38</v>
      </c>
      <c r="N191" s="4">
        <v>925</v>
      </c>
      <c r="O191" s="4">
        <v>10</v>
      </c>
      <c r="P191" s="4">
        <v>190</v>
      </c>
      <c r="Q191" s="4">
        <v>30</v>
      </c>
      <c r="R191" s="4">
        <v>20</v>
      </c>
      <c r="S191" s="4">
        <v>10</v>
      </c>
      <c r="T191" s="4">
        <v>10</v>
      </c>
      <c r="U191" s="4"/>
      <c r="V191" s="14">
        <v>0.15</v>
      </c>
      <c r="W191" s="4"/>
    </row>
    <row r="192" spans="1:23" ht="15.75" x14ac:dyDescent="0.25">
      <c r="A192" s="2">
        <v>2</v>
      </c>
      <c r="B192" s="2" t="s">
        <v>18</v>
      </c>
      <c r="C192" s="2" t="s">
        <v>26</v>
      </c>
      <c r="D192" s="2" t="s">
        <v>3</v>
      </c>
      <c r="E192" s="2">
        <f>H189+100</f>
        <v>2020</v>
      </c>
      <c r="F192" s="2">
        <f>J189+40</f>
        <v>1040</v>
      </c>
      <c r="G192" s="2"/>
      <c r="H192" s="2">
        <v>2</v>
      </c>
      <c r="I192" s="2"/>
      <c r="J192" s="15">
        <f>E192*F192*H192/304.8/304.8</f>
        <v>45.225646006847569</v>
      </c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15.75" x14ac:dyDescent="0.25">
      <c r="A193" s="2">
        <v>3</v>
      </c>
      <c r="B193" s="2" t="s">
        <v>18</v>
      </c>
      <c r="C193" s="2" t="s">
        <v>26</v>
      </c>
      <c r="D193" s="2" t="s">
        <v>4</v>
      </c>
      <c r="E193" s="2">
        <f>I189</f>
        <v>785</v>
      </c>
      <c r="F193" s="2">
        <f>J189+40</f>
        <v>1040</v>
      </c>
      <c r="G193" s="2"/>
      <c r="H193" s="2">
        <v>2</v>
      </c>
      <c r="I193" s="2"/>
      <c r="J193" s="15">
        <f>E193*F193*H193/304.8/304.8</f>
        <v>17.575312928403633</v>
      </c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15.75" x14ac:dyDescent="0.25">
      <c r="A194" s="2">
        <v>5</v>
      </c>
      <c r="B194" s="2" t="s">
        <v>18</v>
      </c>
      <c r="C194" s="2" t="s">
        <v>17</v>
      </c>
      <c r="D194" s="2" t="s">
        <v>16</v>
      </c>
      <c r="E194" s="2">
        <f>H189+100</f>
        <v>2020</v>
      </c>
      <c r="F194" s="2">
        <v>100</v>
      </c>
      <c r="G194" s="2">
        <v>19</v>
      </c>
      <c r="H194" s="2">
        <v>2</v>
      </c>
      <c r="I194" s="2">
        <f t="shared" ref="I194:I204" si="17">E194*F194*G194*H194/304.8/304.8/304.8</f>
        <v>0.27107538175414636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15.75" x14ac:dyDescent="0.25">
      <c r="A195" s="2">
        <v>6</v>
      </c>
      <c r="B195" s="2" t="s">
        <v>18</v>
      </c>
      <c r="C195" s="2" t="s">
        <v>17</v>
      </c>
      <c r="D195" s="2" t="s">
        <v>27</v>
      </c>
      <c r="E195" s="2">
        <f>I189+80</f>
        <v>865</v>
      </c>
      <c r="F195" s="2">
        <v>100</v>
      </c>
      <c r="G195" s="2">
        <v>19</v>
      </c>
      <c r="H195" s="2">
        <v>4</v>
      </c>
      <c r="I195" s="2">
        <f t="shared" si="17"/>
        <v>0.23215861902706597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x14ac:dyDescent="0.25">
      <c r="A196" s="2">
        <v>6</v>
      </c>
      <c r="B196" s="2" t="s">
        <v>18</v>
      </c>
      <c r="C196" s="2" t="s">
        <v>17</v>
      </c>
      <c r="D196" s="2" t="s">
        <v>28</v>
      </c>
      <c r="E196" s="2">
        <f>H189+100</f>
        <v>2020</v>
      </c>
      <c r="F196" s="2">
        <v>100</v>
      </c>
      <c r="G196" s="2">
        <v>19</v>
      </c>
      <c r="H196" s="2">
        <v>5</v>
      </c>
      <c r="I196" s="2">
        <f t="shared" si="17"/>
        <v>0.67768845438536596</v>
      </c>
      <c r="J196" s="2"/>
      <c r="K196" s="2"/>
      <c r="L196" s="2"/>
      <c r="M196" s="2"/>
      <c r="N196" s="2"/>
      <c r="O196" s="2"/>
      <c r="P196" s="2"/>
      <c r="Q196" s="6"/>
      <c r="R196" s="6"/>
      <c r="S196" s="6"/>
      <c r="T196" s="6"/>
      <c r="U196" s="6"/>
      <c r="V196" s="7"/>
      <c r="W196" s="6"/>
    </row>
    <row r="197" spans="1:23" x14ac:dyDescent="0.25">
      <c r="A197" s="2">
        <v>6</v>
      </c>
      <c r="B197" s="2" t="s">
        <v>18</v>
      </c>
      <c r="C197" s="2" t="s">
        <v>17</v>
      </c>
      <c r="D197" s="2" t="s">
        <v>28</v>
      </c>
      <c r="E197" s="2">
        <f>I189+80</f>
        <v>865</v>
      </c>
      <c r="F197" s="2">
        <v>100</v>
      </c>
      <c r="G197" s="2">
        <v>19</v>
      </c>
      <c r="H197" s="2">
        <v>4</v>
      </c>
      <c r="I197" s="2">
        <f t="shared" si="17"/>
        <v>0.23215861902706597</v>
      </c>
      <c r="J197" s="2"/>
      <c r="K197" s="2"/>
      <c r="L197" s="2"/>
      <c r="M197" s="2"/>
      <c r="N197" s="2"/>
      <c r="O197" s="2"/>
      <c r="P197" s="2"/>
      <c r="Q197" s="6"/>
      <c r="R197" s="6"/>
      <c r="S197" s="6"/>
      <c r="T197" s="6"/>
      <c r="U197" s="6"/>
      <c r="V197" s="6"/>
      <c r="W197" s="6"/>
    </row>
    <row r="198" spans="1:23" x14ac:dyDescent="0.25">
      <c r="A198" s="2">
        <v>3</v>
      </c>
      <c r="B198" s="2" t="s">
        <v>18</v>
      </c>
      <c r="C198" s="2" t="s">
        <v>17</v>
      </c>
      <c r="D198" s="2" t="s">
        <v>29</v>
      </c>
      <c r="E198" s="2">
        <f>I189+80</f>
        <v>865</v>
      </c>
      <c r="F198" s="2">
        <v>100</v>
      </c>
      <c r="G198" s="2">
        <v>19</v>
      </c>
      <c r="H198" s="2">
        <v>4</v>
      </c>
      <c r="I198" s="2">
        <f t="shared" ref="I198" si="18">E198*F198*G198*H198/304.8/304.8/304.8</f>
        <v>0.23215861902706597</v>
      </c>
      <c r="J198" s="2"/>
      <c r="K198" s="2"/>
      <c r="L198" s="2"/>
      <c r="M198" s="2"/>
      <c r="N198" s="2"/>
      <c r="O198" s="2"/>
      <c r="P198" s="2"/>
      <c r="Q198" s="6"/>
      <c r="R198" s="6"/>
      <c r="S198" s="6"/>
      <c r="T198" s="6"/>
      <c r="U198" s="6"/>
      <c r="V198" s="6"/>
      <c r="W198" s="6"/>
    </row>
    <row r="199" spans="1:23" x14ac:dyDescent="0.25">
      <c r="A199" s="2">
        <v>3</v>
      </c>
      <c r="B199" s="2" t="s">
        <v>18</v>
      </c>
      <c r="C199" s="2" t="s">
        <v>17</v>
      </c>
      <c r="D199" s="2" t="s">
        <v>29</v>
      </c>
      <c r="E199" s="2">
        <f>I189+80</f>
        <v>865</v>
      </c>
      <c r="F199" s="2">
        <v>100</v>
      </c>
      <c r="G199" s="2">
        <v>19</v>
      </c>
      <c r="H199" s="2">
        <v>0</v>
      </c>
      <c r="I199" s="2">
        <f t="shared" si="17"/>
        <v>0</v>
      </c>
      <c r="J199" s="2"/>
      <c r="K199" s="2"/>
      <c r="L199" s="2"/>
      <c r="M199" s="2"/>
      <c r="N199" s="2"/>
      <c r="O199" s="2"/>
      <c r="P199" s="2"/>
      <c r="Q199" s="6"/>
      <c r="R199" s="6"/>
      <c r="S199" s="6"/>
      <c r="T199" s="6"/>
      <c r="U199" s="6"/>
      <c r="V199" s="6"/>
      <c r="W199" s="6"/>
    </row>
    <row r="200" spans="1:23" x14ac:dyDescent="0.25">
      <c r="A200" s="2">
        <v>6</v>
      </c>
      <c r="B200" s="2" t="s">
        <v>18</v>
      </c>
      <c r="C200" s="2" t="s">
        <v>17</v>
      </c>
      <c r="D200" s="2" t="s">
        <v>5</v>
      </c>
      <c r="E200" s="2">
        <f>H189+100</f>
        <v>2020</v>
      </c>
      <c r="F200" s="2">
        <v>100</v>
      </c>
      <c r="G200" s="2">
        <v>19</v>
      </c>
      <c r="H200" s="2">
        <v>4</v>
      </c>
      <c r="I200" s="2">
        <f t="shared" si="17"/>
        <v>0.54215076350829272</v>
      </c>
      <c r="J200" s="2"/>
      <c r="K200" s="2"/>
      <c r="L200" s="2"/>
      <c r="M200" s="2"/>
      <c r="N200" s="2"/>
      <c r="O200" s="2"/>
      <c r="P200" s="2"/>
      <c r="Q200" s="6"/>
      <c r="R200" s="6"/>
      <c r="S200" s="6"/>
      <c r="T200" s="6"/>
      <c r="U200" s="6"/>
      <c r="V200" s="6"/>
      <c r="W200" s="6"/>
    </row>
    <row r="201" spans="1:23" x14ac:dyDescent="0.25">
      <c r="A201" s="2">
        <v>6</v>
      </c>
      <c r="B201" s="2" t="s">
        <v>18</v>
      </c>
      <c r="C201" s="2" t="s">
        <v>17</v>
      </c>
      <c r="D201" s="2" t="s">
        <v>30</v>
      </c>
      <c r="E201" s="2">
        <f>J189+40</f>
        <v>1040</v>
      </c>
      <c r="F201" s="2">
        <v>100</v>
      </c>
      <c r="G201" s="2">
        <v>19</v>
      </c>
      <c r="H201" s="2">
        <v>8</v>
      </c>
      <c r="I201" s="2">
        <f t="shared" si="17"/>
        <v>0.55825425153329145</v>
      </c>
      <c r="J201" s="2"/>
      <c r="K201" s="2"/>
      <c r="L201" s="2"/>
      <c r="M201" s="2"/>
      <c r="N201" s="2"/>
      <c r="O201" s="2"/>
      <c r="P201" s="2"/>
      <c r="Q201" s="6"/>
      <c r="R201" s="6"/>
      <c r="S201" s="6"/>
      <c r="T201" s="6"/>
      <c r="U201" s="6"/>
      <c r="V201" s="6"/>
      <c r="W201" s="6"/>
    </row>
    <row r="202" spans="1:23" x14ac:dyDescent="0.25">
      <c r="A202" s="2">
        <v>6</v>
      </c>
      <c r="B202" s="2" t="s">
        <v>18</v>
      </c>
      <c r="C202" s="2" t="s">
        <v>17</v>
      </c>
      <c r="D202" s="2" t="s">
        <v>22</v>
      </c>
      <c r="E202" s="2">
        <f>I189</f>
        <v>785</v>
      </c>
      <c r="F202" s="2">
        <v>100</v>
      </c>
      <c r="G202" s="2">
        <v>19</v>
      </c>
      <c r="H202" s="2">
        <v>4</v>
      </c>
      <c r="I202" s="2">
        <f t="shared" si="17"/>
        <v>0.21068730166040089</v>
      </c>
      <c r="J202" s="2"/>
      <c r="K202" s="2"/>
      <c r="L202" s="2"/>
      <c r="M202" s="2"/>
      <c r="N202" s="2"/>
      <c r="O202" s="2"/>
      <c r="P202" s="2"/>
      <c r="Q202" s="6"/>
      <c r="R202" s="6"/>
      <c r="S202" s="6"/>
      <c r="T202" s="6"/>
      <c r="U202" s="6"/>
      <c r="V202" s="6"/>
      <c r="W202" s="6"/>
    </row>
    <row r="203" spans="1:23" x14ac:dyDescent="0.25">
      <c r="A203" s="2">
        <v>4</v>
      </c>
      <c r="B203" s="2" t="s">
        <v>18</v>
      </c>
      <c r="C203" s="2" t="s">
        <v>17</v>
      </c>
      <c r="D203" s="2" t="s">
        <v>23</v>
      </c>
      <c r="E203" s="2">
        <f>J189+40</f>
        <v>1040</v>
      </c>
      <c r="F203" s="2">
        <v>100</v>
      </c>
      <c r="G203" s="2">
        <v>19</v>
      </c>
      <c r="H203" s="2">
        <v>6</v>
      </c>
      <c r="I203" s="2">
        <f t="shared" si="17"/>
        <v>0.41869068864996867</v>
      </c>
      <c r="J203" s="2"/>
      <c r="K203" s="2"/>
      <c r="L203" s="2"/>
      <c r="M203" s="2"/>
      <c r="N203" s="2"/>
      <c r="O203" s="2"/>
      <c r="P203" s="2"/>
      <c r="Q203" s="6"/>
      <c r="R203" s="6"/>
      <c r="S203" s="6"/>
      <c r="T203" s="6"/>
      <c r="U203" s="6"/>
      <c r="V203" s="6"/>
      <c r="W203" s="6"/>
    </row>
    <row r="204" spans="1:23" x14ac:dyDescent="0.25">
      <c r="A204" s="2">
        <v>6</v>
      </c>
      <c r="B204" s="2" t="s">
        <v>18</v>
      </c>
      <c r="C204" s="2" t="s">
        <v>17</v>
      </c>
      <c r="D204" s="2" t="s">
        <v>22</v>
      </c>
      <c r="E204" s="2">
        <v>100</v>
      </c>
      <c r="F204" s="2">
        <v>100</v>
      </c>
      <c r="G204" s="2">
        <v>90</v>
      </c>
      <c r="H204" s="2">
        <f>L189</f>
        <v>12</v>
      </c>
      <c r="I204" s="2">
        <f t="shared" si="17"/>
        <v>0.38139840059207675</v>
      </c>
      <c r="J204" s="2"/>
      <c r="K204" s="2"/>
      <c r="L204" s="2"/>
      <c r="M204" s="2"/>
      <c r="N204" s="2"/>
      <c r="O204" s="2"/>
      <c r="P204" s="2"/>
      <c r="Q204" s="6"/>
      <c r="R204" s="6"/>
      <c r="S204" s="6"/>
      <c r="T204" s="6"/>
      <c r="U204" s="6"/>
      <c r="V204" s="6"/>
      <c r="W204" s="6"/>
    </row>
    <row r="205" spans="1:2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6"/>
      <c r="R205" s="6"/>
      <c r="S205" s="6"/>
      <c r="T205" s="6"/>
      <c r="U205" s="6"/>
      <c r="V205" s="6"/>
      <c r="W205" s="6"/>
    </row>
    <row r="206" spans="1:23" ht="15.75" x14ac:dyDescent="0.25">
      <c r="A206" s="3"/>
      <c r="B206" s="3"/>
      <c r="C206" s="3"/>
      <c r="D206" s="3"/>
      <c r="E206" s="3"/>
      <c r="F206" s="3"/>
      <c r="G206" s="3"/>
      <c r="H206" s="3"/>
      <c r="I206" s="4">
        <f>SUM(I194:I205)</f>
        <v>3.7564210991647404</v>
      </c>
      <c r="J206" s="4">
        <f>SUM(J191:J205)</f>
        <v>100.41652027748501</v>
      </c>
      <c r="K206" s="4">
        <f>I206+K191</f>
        <v>3.9442421541229775</v>
      </c>
      <c r="L206" s="4">
        <f>J206+L191</f>
        <v>105.43734629135926</v>
      </c>
      <c r="M206" s="4">
        <f>L206*M191</f>
        <v>4006.6191590716521</v>
      </c>
      <c r="N206" s="4">
        <f>K206*N191</f>
        <v>3648.4239925637544</v>
      </c>
      <c r="O206" s="4">
        <f>L206*O191</f>
        <v>1054.3734629135927</v>
      </c>
      <c r="P206" s="4">
        <f>K206*P191</f>
        <v>749.40600928336573</v>
      </c>
      <c r="Q206" s="4">
        <f>K206*Q191</f>
        <v>118.32726462368933</v>
      </c>
      <c r="R206" s="4">
        <f>K206*R191</f>
        <v>78.884843082459554</v>
      </c>
      <c r="S206" s="4">
        <f>K206*S191</f>
        <v>39.442421541229777</v>
      </c>
      <c r="T206" s="4">
        <f>K206*T191</f>
        <v>39.442421541229777</v>
      </c>
      <c r="U206" s="4">
        <f>SUM(M206:T206)</f>
        <v>9734.9195746209734</v>
      </c>
      <c r="V206" s="4">
        <f>U206*V191</f>
        <v>1460.237936193146</v>
      </c>
      <c r="W206" s="5">
        <f>U206+V206</f>
        <v>11195.157510814119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Prabhu G</cp:lastModifiedBy>
  <dcterms:created xsi:type="dcterms:W3CDTF">2018-11-09T06:31:53Z</dcterms:created>
  <dcterms:modified xsi:type="dcterms:W3CDTF">2026-06-20T07:14:14Z</dcterms:modified>
</cp:coreProperties>
</file>